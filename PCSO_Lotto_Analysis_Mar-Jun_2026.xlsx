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raws" sheetId="2" state="visible" r:id="rId4"/>
    <sheet name="Frequency" sheetId="3" state="visible" r:id="rId5"/>
    <sheet name="Hot-Cold" sheetId="4" state="visible" r:id="rId6"/>
    <sheet name="Moon-Sun Test" sheetId="5" state="visible" r:id="rId7"/>
    <sheet name="EV Calculator" sheetId="6" state="visible" r:id="rId8"/>
    <sheet name="Protocol" sheetId="7" state="visible" r:id="rId9"/>
    <sheet name="Future Draw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<sst xmlns="http://schemas.openxmlformats.org/spreadsheetml/2006/main" count="1600" uniqueCount="450">
  <si>
    <t xml:space="preserve">PCSO Lotto Draw Results — 10 Mar to 10 Jun 2026 (3 months)</t>
  </si>
  <si>
    <t xml:space="preserve">Games: Lotto 6/42, Mega 6/45, Super 6/49, Grand 6/55, Ultra 6/58 — 194 draws total.</t>
  </si>
  <si>
    <t xml:space="preserve">Primary source: PCSO official search page (pcso.gov.ph/SearchLottoResult.aspx).</t>
  </si>
  <si>
    <t xml:space="preserve">History compiled from lottopcso.com archives; every draw overlapping the official PCSO table (Jun 7-10) was verified to match exactly.</t>
  </si>
  <si>
    <t xml:space="preserve">Known gaps in the archive: 6/58 on Apr 3; 6/42 on Apr 2 and Apr 4 (no results published).</t>
  </si>
  <si>
    <t xml:space="preserve">HOW MUCH DATA GIVES 'HIGH STATISTICAL PROBABILITY'? — The honest answer</t>
  </si>
  <si>
    <t xml:space="preserve">Each draw is an independent random event. Past draws carry zero information about future draws,</t>
  </si>
  <si>
    <t xml:space="preserve">so NO amount of historical data — 3 months or 30 years — improves your odds of predicting the next result.</t>
  </si>
  <si>
    <t xml:space="preserve">The probability of any specific 6-number ticket stays fixed: 1 in 5,245,786 (6/42) up to 1 in 40,475,358 (6/58).</t>
  </si>
  <si>
    <t xml:space="preserve">What sample sizes ARE good for:</t>
  </si>
  <si>
    <t xml:space="preserve">~50 draws per game (this file has ~39): enough to run a chi-square uniformity check (see Frequency sheet).</t>
  </si>
  <si>
    <t xml:space="preserve">~400-1,000 draws (2-6 years): enough to confirm the machine has no large bias (&gt;20% on a single number).</t>
  </si>
  <si>
    <t xml:space="preserve">~10,000+ draws: needed to detect a subtle 5% bias — more draws than most games have ever held.</t>
  </si>
  <si>
    <t xml:space="preserve">In this sample, all five games' frequencies are consistent with pure randomness (p-values on Frequency sheet),</t>
  </si>
  <si>
    <t xml:space="preserve">which means 'hot' and 'cold' numbers here are ordinary noise, not signal.</t>
  </si>
  <si>
    <t xml:space="preserve">Practical takeaway: if you play, every combination is equally likely; picking less-popular combinations</t>
  </si>
  <si>
    <t xml:space="preserve">(avoiding birthdays/patterns) doesn't raise your win chance but reduces the risk of splitting a jackpot.</t>
  </si>
  <si>
    <t xml:space="preserve">Please play responsibly — PCSO's own responsible-gaming page: pcso.gov.ph/Games/ResponsibleGaming.aspx</t>
  </si>
  <si>
    <t xml:space="preserve">Game</t>
  </si>
  <si>
    <t xml:space="preserve">Draw 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</si>
  <si>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</si>
  <si>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</si>
  <si>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</si>
  <si>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</si>
  <si>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</si>
  <si>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</si>
  <si>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Lotto 6/42</t>
  </si>
  <si>
    <t xml:space="preserve">2026-03-10</t>
  </si>
  <si>
    <t xml:space="preserve">2026-03-12</t>
  </si>
  <si>
    <t xml:space="preserve">2026-03-14</t>
  </si>
  <si>
    <t xml:space="preserve">2026-03-17</t>
  </si>
  <si>
    <t xml:space="preserve">2026-03-19</t>
  </si>
  <si>
    <t xml:space="preserve">2026-03-21</t>
  </si>
  <si>
    <t xml:space="preserve">2026-03-24</t>
  </si>
  <si>
    <t xml:space="preserve">2026-03-26</t>
  </si>
  <si>
    <t xml:space="preserve">2026-03-28</t>
  </si>
  <si>
    <t xml:space="preserve">2026-03-31</t>
  </si>
  <si>
    <t xml:space="preserve">2026-04-07</t>
  </si>
  <si>
    <t xml:space="preserve">2026-04-09</t>
  </si>
  <si>
    <t xml:space="preserve">2026-04-11</t>
  </si>
  <si>
    <t xml:space="preserve">2026-04-14</t>
  </si>
  <si>
    <t xml:space="preserve">2026-04-16</t>
  </si>
  <si>
    <t xml:space="preserve">2026-04-18</t>
  </si>
  <si>
    <t xml:space="preserve">2026-04-21</t>
  </si>
  <si>
    <t xml:space="preserve">2026-04-23</t>
  </si>
  <si>
    <t xml:space="preserve">2026-04-25</t>
  </si>
  <si>
    <t xml:space="preserve">2026-04-28</t>
  </si>
  <si>
    <t xml:space="preserve">2026-04-30</t>
  </si>
  <si>
    <t xml:space="preserve">2026-05-02</t>
  </si>
  <si>
    <t xml:space="preserve">2026-05-05</t>
  </si>
  <si>
    <t xml:space="preserve">2026-05-07</t>
  </si>
  <si>
    <t xml:space="preserve">2026-05-09</t>
  </si>
  <si>
    <t xml:space="preserve">2026-05-12</t>
  </si>
  <si>
    <t xml:space="preserve">2026-05-14</t>
  </si>
  <si>
    <t xml:space="preserve">2026-05-16</t>
  </si>
  <si>
    <t xml:space="preserve">2026-05-19</t>
  </si>
  <si>
    <t xml:space="preserve">2026-05-21</t>
  </si>
  <si>
    <t xml:space="preserve">2026-05-23</t>
  </si>
  <si>
    <t xml:space="preserve">2026-05-26</t>
  </si>
  <si>
    <t xml:space="preserve">2026-05-28</t>
  </si>
  <si>
    <t xml:space="preserve">2026-05-30</t>
  </si>
  <si>
    <t xml:space="preserve">2026-06-02</t>
  </si>
  <si>
    <t xml:space="preserve">2026-06-04</t>
  </si>
  <si>
    <t xml:space="preserve">2026-06-06</t>
  </si>
  <si>
    <t xml:space="preserve">2026-06-09</t>
  </si>
  <si>
    <t xml:space="preserve">2026-06-11</t>
  </si>
  <si>
    <t xml:space="preserve">2026-06-13</t>
  </si>
  <si>
    <t xml:space="preserve">2026-06-16</t>
  </si>
  <si>
    <t xml:space="preserve">Mega Lotto 6/45</t>
  </si>
  <si>
    <t xml:space="preserve">2026-03-11</t>
  </si>
  <si>
    <t xml:space="preserve">2026-03-13</t>
  </si>
  <si>
    <t xml:space="preserve">2026-03-16</t>
  </si>
  <si>
    <t xml:space="preserve">2026-03-18</t>
  </si>
  <si>
    <t xml:space="preserve">2026-03-20</t>
  </si>
  <si>
    <t xml:space="preserve">2026-03-23</t>
  </si>
  <si>
    <t xml:space="preserve">2026-03-25</t>
  </si>
  <si>
    <t xml:space="preserve">2026-03-27</t>
  </si>
  <si>
    <t xml:space="preserve">2026-03-30</t>
  </si>
  <si>
    <t xml:space="preserve">2026-04-01</t>
  </si>
  <si>
    <t xml:space="preserve">2026-04-06</t>
  </si>
  <si>
    <t xml:space="preserve">2026-04-08</t>
  </si>
  <si>
    <t xml:space="preserve">2026-04-10</t>
  </si>
  <si>
    <t xml:space="preserve">2026-04-13</t>
  </si>
  <si>
    <t xml:space="preserve">2026-04-15</t>
  </si>
  <si>
    <t xml:space="preserve">2026-04-17</t>
  </si>
  <si>
    <t xml:space="preserve">2026-04-20</t>
  </si>
  <si>
    <t xml:space="preserve">2026-04-22</t>
  </si>
  <si>
    <t xml:space="preserve">2026-04-24</t>
  </si>
  <si>
    <t xml:space="preserve">2026-04-27</t>
  </si>
  <si>
    <t xml:space="preserve">2026-04-29</t>
  </si>
  <si>
    <t xml:space="preserve">2026-05-01</t>
  </si>
  <si>
    <t xml:space="preserve">2026-05-04</t>
  </si>
  <si>
    <t xml:space="preserve">2026-05-06</t>
  </si>
  <si>
    <t xml:space="preserve">2026-05-08</t>
  </si>
  <si>
    <t xml:space="preserve">2026-05-11</t>
  </si>
  <si>
    <t xml:space="preserve">2026-05-13</t>
  </si>
  <si>
    <t xml:space="preserve">2026-05-15</t>
  </si>
  <si>
    <t xml:space="preserve">2026-05-18</t>
  </si>
  <si>
    <t xml:space="preserve">2026-05-20</t>
  </si>
  <si>
    <t xml:space="preserve">2026-05-22</t>
  </si>
  <si>
    <t xml:space="preserve">2026-05-25</t>
  </si>
  <si>
    <t xml:space="preserve">2026-05-27</t>
  </si>
  <si>
    <t xml:space="preserve">2026-05-29</t>
  </si>
  <si>
    <t xml:space="preserve">2026-06-01</t>
  </si>
  <si>
    <t xml:space="preserve">2026-06-03</t>
  </si>
  <si>
    <t xml:space="preserve">2026-06-05</t>
  </si>
  <si>
    <t xml:space="preserve">2026-06-08</t>
  </si>
  <si>
    <t xml:space="preserve">2026-06-10</t>
  </si>
  <si>
    <t xml:space="preserve">2026-06-12</t>
  </si>
  <si>
    <t xml:space="preserve">2026-06-15</t>
  </si>
  <si>
    <t xml:space="preserve">Super Lotto 6/49</t>
  </si>
  <si>
    <t xml:space="preserve">2026-03-15</t>
  </si>
  <si>
    <t xml:space="preserve">2026-03-22</t>
  </si>
  <si>
    <t xml:space="preserve">2026-03-29</t>
  </si>
  <si>
    <t xml:space="preserve">2026-04-05</t>
  </si>
  <si>
    <t xml:space="preserve">2026-04-12</t>
  </si>
  <si>
    <t xml:space="preserve">2026-04-19</t>
  </si>
  <si>
    <t xml:space="preserve">2026-04-26</t>
  </si>
  <si>
    <t xml:space="preserve">2026-05-03</t>
  </si>
  <si>
    <t xml:space="preserve">2026-05-10</t>
  </si>
  <si>
    <t xml:space="preserve">2026-05-17</t>
  </si>
  <si>
    <t xml:space="preserve">2026-05-24</t>
  </si>
  <si>
    <t xml:space="preserve">2026-05-31</t>
  </si>
  <si>
    <t xml:space="preserve">2026-06-07</t>
  </si>
  <si>
    <t xml:space="preserve">2026-06-14</t>
  </si>
  <si>
    <t xml:space="preserve">Grand Lotto 6/55</t>
  </si>
  <si>
    <t xml:space="preserve">Ultra Lotto 6/58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</si>
  <si>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</si>
  <si>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</si>
  <si>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</si>
  <si>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</si>
  <si>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</si>
  <si>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</si>
  <si>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</si>
  <si>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</si>
  <si>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Number</t>
  </si>
  <si>
    <t xml:space="preserve">Draws in sample</t>
  </si>
  <si>
    <t xml:space="preserve">Numbers in game</t>
  </si>
  <si>
    <t xml:space="preserve">Expected hits per number</t>
  </si>
  <si>
    <t xml:space="preserve">Chi-square statistic</t>
  </si>
  <si>
    <t xml:space="preserve">Degrees of freedom</t>
  </si>
  <si>
    <t xml:space="preserve">p-value (uniformity test)</t>
  </si>
  <si>
    <t xml:space="preserve">Verdict at 5% level</t>
  </si>
  <si>
    <t xml:space="preserve">Hits = times a number was drawn, Mar 10 - Jun 16 2026. Expected = draws*6/pool. p&gt;0.05 means frequencies look random.</t>
  </si>
  <si>
    <t xml:space="preserve">Hot (most drawn) and cold (least drawn) numbers per game — descriptive only, NOT predictive (see Read Me)</t>
  </si>
  <si>
    <t xml:space="preserve">Hot #</t>
  </si>
  <si>
    <t xml:space="preserve">Hits</t>
  </si>
  <si>
    <t xml:space="preserve">Cold #</t>
  </si>
  <si>
    <t xml:space="preserve">Note: ties resolved to the lowest number; see Frequency sheet for full counts.</t>
  </si>
  <si>
    <t xml:space="preserve">Moon Alt (deg)</t>
  </si>
  <si>
    <t xml:space="preserve">Moon Az (deg)</t>
  </si>
  <si>
    <t xml:space="preserve">Moon Illum (0-1)</t>
  </si>
  <si>
    <t xml:space="preserve">Moon Dist (km)</t>
  </si>
  <si>
    <t xml:space="preserve">Lunar tidal accel (g)</t>
  </si>
  <si>
    <t xml:space="preserve">Sun Alt (deg)</t>
  </si>
  <si>
    <t xml:space="preserve">Mean drawn # / pool</t>
  </si>
  <si>
    <t xml:space="preserve">Kp at draw (geomagnetic)</t>
  </si>
  <si>
    <t xml:space="preserve">Kp daily mean</t>
  </si>
  <si>
    <t xml:space="preserve">4.41e-15</t>
  </si>
  <si>
    <t xml:space="preserve">4.44e-15</t>
  </si>
  <si>
    <t xml:space="preserve">4.65e-15</t>
  </si>
  <si>
    <t xml:space="preserve">5.23e-15</t>
  </si>
  <si>
    <t xml:space="preserve">5.67e-15</t>
  </si>
  <si>
    <t xml:space="preserve">6.00e-15</t>
  </si>
  <si>
    <t xml:space="preserve">6.14e-15</t>
  </si>
  <si>
    <t xml:space="preserve">6.03e-15</t>
  </si>
  <si>
    <t xml:space="preserve">5.81e-15</t>
  </si>
  <si>
    <t xml:space="preserve">5.35e-15</t>
  </si>
  <si>
    <t xml:space="preserve">4.47e-15</t>
  </si>
  <si>
    <t xml:space="preserve">4.68e-15</t>
  </si>
  <si>
    <t xml:space="preserve">5.30e-15</t>
  </si>
  <si>
    <t xml:space="preserve">5.80e-15</t>
  </si>
  <si>
    <t xml:space="preserve">6.18e-15</t>
  </si>
  <si>
    <t xml:space="preserve">6.25e-15</t>
  </si>
  <si>
    <t xml:space="preserve">5.18e-15</t>
  </si>
  <si>
    <t xml:space="preserve">4.89e-15</t>
  </si>
  <si>
    <t xml:space="preserve">4.66e-15</t>
  </si>
  <si>
    <t xml:space="preserve">4.50e-15</t>
  </si>
  <si>
    <t xml:space="preserve">4.70e-15</t>
  </si>
  <si>
    <t xml:space="preserve">5.83e-15</t>
  </si>
  <si>
    <t xml:space="preserve">6.27e-15</t>
  </si>
  <si>
    <t xml:space="preserve">6.35e-15</t>
  </si>
  <si>
    <t xml:space="preserve">6.04e-15</t>
  </si>
  <si>
    <t xml:space="preserve">5.61e-15</t>
  </si>
  <si>
    <t xml:space="preserve">5.06e-15</t>
  </si>
  <si>
    <t xml:space="preserve">4.81e-15</t>
  </si>
  <si>
    <t xml:space="preserve">4.63e-15</t>
  </si>
  <si>
    <t xml:space="preserve">4.53e-15</t>
  </si>
  <si>
    <t xml:space="preserve">4.58e-15</t>
  </si>
  <si>
    <t xml:space="preserve">4.75e-15</t>
  </si>
  <si>
    <t xml:space="preserve">5.29e-15</t>
  </si>
  <si>
    <t xml:space="preserve">5.78e-15</t>
  </si>
  <si>
    <t xml:space="preserve">6.23e-15</t>
  </si>
  <si>
    <t xml:space="preserve">6.37e-15</t>
  </si>
  <si>
    <t xml:space="preserve">4.40e-15</t>
  </si>
  <si>
    <t xml:space="preserve">4.52e-15</t>
  </si>
  <si>
    <t xml:space="preserve">5.02e-15</t>
  </si>
  <si>
    <t xml:space="preserve">5.46e-15</t>
  </si>
  <si>
    <t xml:space="preserve">5.85e-15</t>
  </si>
  <si>
    <t xml:space="preserve">6.10e-15</t>
  </si>
  <si>
    <t xml:space="preserve">5.93e-15</t>
  </si>
  <si>
    <t xml:space="preserve">5.51e-15</t>
  </si>
  <si>
    <t xml:space="preserve">5.17e-15</t>
  </si>
  <si>
    <t xml:space="preserve">4.49e-15</t>
  </si>
  <si>
    <t xml:space="preserve">4.43e-15</t>
  </si>
  <si>
    <t xml:space="preserve">4.55e-15</t>
  </si>
  <si>
    <t xml:space="preserve">5.55e-15</t>
  </si>
  <si>
    <t xml:space="preserve">6.01e-15</t>
  </si>
  <si>
    <t xml:space="preserve">6.29e-15</t>
  </si>
  <si>
    <t xml:space="preserve">6.15e-15</t>
  </si>
  <si>
    <t xml:space="preserve">5.84e-15</t>
  </si>
  <si>
    <t xml:space="preserve">5.33e-15</t>
  </si>
  <si>
    <t xml:space="preserve">5.03e-15</t>
  </si>
  <si>
    <t xml:space="preserve">4.77e-15</t>
  </si>
  <si>
    <t xml:space="preserve">4.51e-15</t>
  </si>
  <si>
    <t xml:space="preserve">5.56e-15</t>
  </si>
  <si>
    <t xml:space="preserve">6.08e-15</t>
  </si>
  <si>
    <t xml:space="preserve">6.41e-15</t>
  </si>
  <si>
    <t xml:space="preserve">6.22e-15</t>
  </si>
  <si>
    <t xml:space="preserve">5.22e-15</t>
  </si>
  <si>
    <t xml:space="preserve">4.92e-15</t>
  </si>
  <si>
    <t xml:space="preserve">4.71e-15</t>
  </si>
  <si>
    <t xml:space="preserve">4.54e-15</t>
  </si>
  <si>
    <t xml:space="preserve">5.07e-15</t>
  </si>
  <si>
    <t xml:space="preserve">5.53e-15</t>
  </si>
  <si>
    <t xml:space="preserve">6.02e-15</t>
  </si>
  <si>
    <t xml:space="preserve">4.82e-15</t>
  </si>
  <si>
    <t xml:space="preserve">6.09e-15</t>
  </si>
  <si>
    <t xml:space="preserve">4.85e-15</t>
  </si>
  <si>
    <t xml:space="preserve">5.50e-15</t>
  </si>
  <si>
    <t xml:space="preserve">4.57e-15</t>
  </si>
  <si>
    <t xml:space="preserve">4.86e-15</t>
  </si>
  <si>
    <t xml:space="preserve">6.39e-15</t>
  </si>
  <si>
    <t xml:space="preserve">5.41e-15</t>
  </si>
  <si>
    <t xml:space="preserve">6.36e-15</t>
  </si>
  <si>
    <t xml:space="preserve">6.24e-15</t>
  </si>
  <si>
    <t xml:space="preserve">6.05e-15</t>
  </si>
  <si>
    <t xml:space="preserve">5.82e-15</t>
  </si>
  <si>
    <t xml:space="preserve">5.59e-15</t>
  </si>
  <si>
    <t xml:space="preserve">5.36e-15</t>
  </si>
  <si>
    <t xml:space="preserve">5.16e-15</t>
  </si>
  <si>
    <t xml:space="preserve">4.99e-15</t>
  </si>
  <si>
    <t xml:space="preserve">Correlation with mean drawn number (CORREL, t-test p-value):</t>
  </si>
  <si>
    <t xml:space="preserve">Moon altitude</t>
  </si>
  <si>
    <t xml:space="preserve">Moon illumination</t>
  </si>
  <si>
    <t xml:space="preserve">Moon distance</t>
  </si>
  <si>
    <t xml:space="preserve">Sun altitude</t>
  </si>
  <si>
    <t xml:space="preserve">Geomagnetic Kp at draw time</t>
  </si>
  <si>
    <t xml:space="preserve">Geomagnetic Kp daily mean</t>
  </si>
  <si>
    <t xml:space="preserve">Kp index source: GFZ Potsdam (CC BY 4.0). Kp 0-3 = quiet, 5+ = geomagnetic storm. Sample includes storms up to Kp 7.0 (Apr 21-22). New draws 2026-06-11..24: Kp pending (GFZ preliminary, not appended).</t>
  </si>
  <si>
    <t xml:space="preserve">Expected-value calculator (Stern-Cover style). Blue cells = inputs you can change. Yellow = estimates, update from official PCSO figures. This computes whether a ticket is worth its price — it does NOT predict numbers.</t>
  </si>
  <si>
    <t xml:space="preserve">Number pool</t>
  </si>
  <si>
    <t xml:space="preserve">Possible combinations</t>
  </si>
  <si>
    <t xml:space="preserve">P(jackpot)</t>
  </si>
  <si>
    <t xml:space="preserve">P(match 5)</t>
  </si>
  <si>
    <t xml:space="preserve">P(match 4)</t>
  </si>
  <si>
    <t xml:space="preserve">P(match 3)</t>
  </si>
  <si>
    <t xml:space="preserve">INPUT: Current jackpot (PHP)</t>
  </si>
  <si>
    <t xml:space="preserve">INPUT: Est. tickets sold this draw</t>
  </si>
  <si>
    <t xml:space="preserve">INPUT: Match-5 prize (PHP)</t>
  </si>
  <si>
    <t xml:space="preserve">INPUT: Match-4 prize (PHP)</t>
  </si>
  <si>
    <t xml:space="preserve">INPUT: Match-3 prize (PHP)</t>
  </si>
  <si>
    <t xml:space="preserve">Expected co-winners (Poisson lambda)</t>
  </si>
  <si>
    <t xml:space="preserve">Expected jackpot share if you win</t>
  </si>
  <si>
    <t xml:space="preserve">...after 20% tax</t>
  </si>
  <si>
    <t xml:space="preserve">EV from jackpot (PHP)</t>
  </si>
  <si>
    <t xml:space="preserve">EV from lower tiers (PHP)</t>
  </si>
  <si>
    <t xml:space="preserve">Total EV per ticket (PHP)</t>
  </si>
  <si>
    <t xml:space="preserve">Net EV per PHP25 ticket</t>
  </si>
  <si>
    <t xml:space="preserve">Return per peso bet</t>
  </si>
  <si>
    <t xml:space="preserve">Break-even jackpot, no split (PHP)</t>
  </si>
  <si>
    <t xml:space="preserve">Verdict</t>
  </si>
  <si>
    <t xml:space="preserve">Notes: Jackpot prefilled from the latest draw in this workbook — update before using.</t>
  </si>
  <si>
    <t xml:space="preserve">Match-5/4 prizes are pari-mutuel estimates (yellow) — check pcso.gov.ph for current values; match-3 is fixed.</t>
  </si>
  <si>
    <t xml:space="preserve">Split adjustment: if you win, expected share = J*(1-EXP(-lambda))/lambda where lambda = tickets*P(jackpot) (Poisson co-winners).</t>
  </si>
  <si>
    <t xml:space="preserve">Doob's optional stopping theorem still applies: a positive-EV draw is the ONLY mathematically meaningful green light, and even then variance is brutal.</t>
  </si>
  <si>
    <t xml:space="preserve">Tax: 20% withheld on prizes over PHP10,000 (TRAIN law).</t>
  </si>
  <si>
    <t xml:space="preserve">THE 2-TICKET PROTOCOL — everything mathematics offers a seldom player</t>
  </si>
  <si>
    <t xml:space="preserve">1. WHEN: play only deep rollovers — check the EV Calculator sheet first. EV varies ~5x with jackpot size.</t>
  </si>
  <si>
    <t xml:space="preserve">2. DISJOINT: two tickets, no shared numbers (12 distinct). Exactly doubles jackpot odds to 2/C(n,6) — the only rigorous improvement.</t>
  </si>
  <si>
    <t xml:space="preserve">3. UNPOPULAR: reject pattern-like picks (all numbers &lt;=31, sequences, multiples). Changes expected payout via split avoidance, not odds.</t>
  </si>
  <si>
    <t xml:space="preserve">4. LOG: record every play. Expected cost ~PHP17-20 per PHP25 ticket — price it as entertainment.</t>
  </si>
  <si>
    <t xml:space="preserve">Generator below: press F9 to regenerate. Tickets A and B are guaranteed disjoint (rank-split of one random shuffle).</t>
  </si>
  <si>
    <t xml:space="preserve">Pattern check</t>
  </si>
  <si>
    <t xml:space="preserve">Ticket A</t>
  </si>
  <si>
    <t xml:space="preserve">Ticket B</t>
  </si>
  <si>
    <t xml:space="preserve">Updated Jun 11, 2026 after 30+ hypothesis tests (all null) and full data validation. Tickets A &amp; B are RANDOM, DISJOINT (doubles jackpot odds vs one ticket) and pattern-filtered (split-risk). They are NOT predictions — 776 draws prove no prediction is possible. Kelly note: even a +EV draw justifies &lt;=PHP25 only on a ~PHP1B bankroll.</t>
  </si>
  <si>
    <t xml:space="preserve">Day</t>
  </si>
  <si>
    <t xml:space="preserve">Ticket A (random/disjoint)</t>
  </si>
  <si>
    <t xml:space="preserve">Ticket B (random/disjoint)</t>
  </si>
  <si>
    <t xml:space="preserve">Moon Alt</t>
  </si>
  <si>
    <t xml:space="preserve">Moon Illum</t>
  </si>
  <si>
    <t xml:space="preserve">Sun Alt</t>
  </si>
  <si>
    <t xml:space="preserve">Fri</t>
  </si>
  <si>
    <t xml:space="preserve">17-18-22-30-37-42</t>
  </si>
  <si>
    <t xml:space="preserve">10-15-23-25-40-41</t>
  </si>
  <si>
    <t xml:space="preserve">06-07-10-13-30-58</t>
  </si>
  <si>
    <t xml:space="preserve">04-21-32-34-38-40</t>
  </si>
  <si>
    <t xml:space="preserve">Sat</t>
  </si>
  <si>
    <t xml:space="preserve">01-05-16-33-34-42</t>
  </si>
  <si>
    <t xml:space="preserve">12-20-22-26-30-40</t>
  </si>
  <si>
    <t xml:space="preserve">18-24-35-41-46-50</t>
  </si>
  <si>
    <t xml:space="preserve">01-09-10-37-49-54</t>
  </si>
  <si>
    <t xml:space="preserve">Sun</t>
  </si>
  <si>
    <t xml:space="preserve">04-13-34-37-41-42</t>
  </si>
  <si>
    <t xml:space="preserve">09-14-25-32-47-49</t>
  </si>
  <si>
    <t xml:space="preserve">08-16-29-46-47-52</t>
  </si>
  <si>
    <t xml:space="preserve">07-21-25-28-38-42</t>
  </si>
  <si>
    <t xml:space="preserve">Mon</t>
  </si>
  <si>
    <t xml:space="preserve">05-07-15-18-32-34</t>
  </si>
  <si>
    <t xml:space="preserve">06-19-25-28-36-41</t>
  </si>
  <si>
    <t xml:space="preserve">03-08-27-40-44-47</t>
  </si>
  <si>
    <t xml:space="preserve">13-16-28-39-46-50</t>
  </si>
  <si>
    <t xml:space="preserve">Tue</t>
  </si>
  <si>
    <t xml:space="preserve">08-14-18-22-26-33</t>
  </si>
  <si>
    <t xml:space="preserve">01-03-06-16-25-41</t>
  </si>
  <si>
    <t xml:space="preserve">15-28-32-36-37-39</t>
  </si>
  <si>
    <t xml:space="preserve">01-16-23-24-30-48</t>
  </si>
  <si>
    <t xml:space="preserve">14-22-33-39-41-43</t>
  </si>
  <si>
    <t xml:space="preserve">21-24-36-37-42-44</t>
  </si>
  <si>
    <t xml:space="preserve">Wed</t>
  </si>
  <si>
    <t xml:space="preserve">04-05-15-19-37-43</t>
  </si>
  <si>
    <t xml:space="preserve">06-23-24-26-29-44</t>
  </si>
  <si>
    <t xml:space="preserve">11-12-14-17-37-46</t>
  </si>
  <si>
    <t xml:space="preserve">04-10-23-39-41-55</t>
  </si>
  <si>
    <t xml:space="preserve">Thu</t>
  </si>
  <si>
    <t xml:space="preserve">07-15-24-28-38-41</t>
  </si>
  <si>
    <t xml:space="preserve">13-14-18-30-31-36</t>
  </si>
  <si>
    <t xml:space="preserve">09-22-25-34-43-49</t>
  </si>
  <si>
    <t xml:space="preserve">04-05-13-35-39-45</t>
  </si>
  <si>
    <t xml:space="preserve">01-17-23-25-35-38</t>
  </si>
  <si>
    <t xml:space="preserve">06-19-20-22-32-45</t>
  </si>
  <si>
    <t xml:space="preserve">04-09-15-26-29-50</t>
  </si>
  <si>
    <t xml:space="preserve">01-17-28-31-33-49</t>
  </si>
  <si>
    <t xml:space="preserve">13-16-31-32-40-42</t>
  </si>
  <si>
    <t xml:space="preserve">01-02-29-34-35-36</t>
  </si>
  <si>
    <t xml:space="preserve">10-15-20-32-38-51</t>
  </si>
  <si>
    <t xml:space="preserve">08-17-27-36-42-55</t>
  </si>
  <si>
    <t xml:space="preserve">13-26-31-32-34-45</t>
  </si>
  <si>
    <t xml:space="preserve">08-21-30-33-35-36</t>
  </si>
  <si>
    <t xml:space="preserve">20-22-29-36-50-56</t>
  </si>
  <si>
    <t xml:space="preserve">09-16-17-30-32-48</t>
  </si>
  <si>
    <t xml:space="preserve">02-08-13-20-24-40</t>
  </si>
  <si>
    <t xml:space="preserve">03-07-16-31-37-43</t>
  </si>
  <si>
    <t xml:space="preserve">22-24-26-40-46-51</t>
  </si>
  <si>
    <t xml:space="preserve">06-10-15-19-45-54</t>
  </si>
  <si>
    <t xml:space="preserve">03-11-19-32-34-41</t>
  </si>
  <si>
    <t xml:space="preserve">04-23-27-36-38-39</t>
  </si>
  <si>
    <t xml:space="preserve">06-17-38-44-48-49</t>
  </si>
  <si>
    <t xml:space="preserve">05-07-21-29-30-41</t>
  </si>
  <si>
    <t xml:space="preserve">11-17-32-39-42-51</t>
  </si>
  <si>
    <t xml:space="preserve">05-25-35-41-48-53</t>
  </si>
  <si>
    <t xml:space="preserve">03-08-20-24-36-43</t>
  </si>
  <si>
    <t xml:space="preserve">01-05-06-16-27-40</t>
  </si>
  <si>
    <t xml:space="preserve">02-08-17-41-42-49</t>
  </si>
  <si>
    <t xml:space="preserve">11-22-30-34-46-52</t>
  </si>
  <si>
    <t xml:space="preserve">2026-06-25</t>
  </si>
  <si>
    <t xml:space="preserve">02-03-18-26-35-37</t>
  </si>
  <si>
    <t xml:space="preserve">05-11-19-24-32-42</t>
  </si>
  <si>
    <t xml:space="preserve">20-26-28-31-43-45</t>
  </si>
  <si>
    <t xml:space="preserve">05-07-21-33-36-42</t>
  </si>
  <si>
    <t xml:space="preserve">2026-06-26</t>
  </si>
  <si>
    <t xml:space="preserve">03-10-12-20-40-45</t>
  </si>
  <si>
    <t xml:space="preserve">01-17-26-31-35-42</t>
  </si>
  <si>
    <t xml:space="preserve">13-14-21-23-32-53</t>
  </si>
  <si>
    <t xml:space="preserve">07-16-17-26-31-48</t>
  </si>
  <si>
    <t xml:space="preserve">2026-06-27</t>
  </si>
  <si>
    <t xml:space="preserve">05-09-18-24-28-33</t>
  </si>
  <si>
    <t xml:space="preserve">03-06-10-31-32-42</t>
  </si>
  <si>
    <t xml:space="preserve">03-22-34-35-48-54</t>
  </si>
  <si>
    <t xml:space="preserve">07-15-17-25-30-37</t>
  </si>
  <si>
    <t xml:space="preserve">2026-06-28</t>
  </si>
  <si>
    <t xml:space="preserve">05-21-24-39-40-45</t>
  </si>
  <si>
    <t xml:space="preserve">03-09-17-28-36-41</t>
  </si>
  <si>
    <t xml:space="preserve">05-13-25-31-32-48</t>
  </si>
  <si>
    <t xml:space="preserve">02-28-35-38-44-52</t>
  </si>
  <si>
    <t xml:space="preserve">2026-06-29</t>
  </si>
  <si>
    <t xml:space="preserve">05-25-29-37-40-42</t>
  </si>
  <si>
    <t xml:space="preserve">07-10-16-24-33-39</t>
  </si>
  <si>
    <t xml:space="preserve">02-06-10-27-28-42</t>
  </si>
  <si>
    <t xml:space="preserve">04-05-11-14-35-38</t>
  </si>
  <si>
    <t xml:space="preserve">2026-06-30</t>
  </si>
  <si>
    <t xml:space="preserve">05-10-23-28-34-42</t>
  </si>
  <si>
    <t xml:space="preserve">07-14-18-21-33-35</t>
  </si>
  <si>
    <t xml:space="preserve">01-25-26-40-43-44</t>
  </si>
  <si>
    <t xml:space="preserve">05-09-20-36-37-42</t>
  </si>
  <si>
    <t xml:space="preserve">11-12-21-22-41-45</t>
  </si>
  <si>
    <t xml:space="preserve">02-05-19-35-49-51</t>
  </si>
  <si>
    <t xml:space="preserve">2026-07-01</t>
  </si>
  <si>
    <t xml:space="preserve">07-14-21-28-36-37</t>
  </si>
  <si>
    <t xml:space="preserve">11-12-33-34-38-45</t>
  </si>
  <si>
    <t xml:space="preserve">13-15-28-29-52-54</t>
  </si>
  <si>
    <t xml:space="preserve">01-02-14-21-36-47</t>
  </si>
  <si>
    <t xml:space="preserve">2026-07-02</t>
  </si>
  <si>
    <t xml:space="preserve">01-02-15-27-36-38</t>
  </si>
  <si>
    <t xml:space="preserve">07-08-17-26-39-40</t>
  </si>
  <si>
    <t xml:space="preserve">01-03-04-11-12-33</t>
  </si>
  <si>
    <t xml:space="preserve">14-19-24-29-30-38</t>
  </si>
  <si>
    <t xml:space="preserve">2026-07-03</t>
  </si>
  <si>
    <t xml:space="preserve">07-22-26-33-41-45</t>
  </si>
  <si>
    <t xml:space="preserve">01-13-32-36-37-42</t>
  </si>
  <si>
    <t xml:space="preserve">04-09-28-30-40-57</t>
  </si>
  <si>
    <t xml:space="preserve">01-05-08-12-52-55</t>
  </si>
  <si>
    <t xml:space="preserve">2026-07-04</t>
  </si>
  <si>
    <t xml:space="preserve">04-07-26-37-41-42</t>
  </si>
  <si>
    <t xml:space="preserve">13-22-27-29-31-33</t>
  </si>
  <si>
    <t xml:space="preserve">15-20-28-30-32-45</t>
  </si>
  <si>
    <t xml:space="preserve">03-04-29-31-42-48</t>
  </si>
  <si>
    <t xml:space="preserve">2026-07-05</t>
  </si>
  <si>
    <t xml:space="preserve">03-04-19-28-41-42</t>
  </si>
  <si>
    <t xml:space="preserve">01-02-05-30-45-49</t>
  </si>
  <si>
    <t xml:space="preserve">08-18-22-29-44-47</t>
  </si>
  <si>
    <t xml:space="preserve">11-12-16-20-21-55</t>
  </si>
  <si>
    <t xml:space="preserve">2026-07-06</t>
  </si>
  <si>
    <t xml:space="preserve">05-09-10-21-37-44</t>
  </si>
  <si>
    <t xml:space="preserve">01-12-13-19-25-35</t>
  </si>
  <si>
    <t xml:space="preserve">05-19-26-34-35-40</t>
  </si>
  <si>
    <t xml:space="preserve">20-28-41-43-44-54</t>
  </si>
  <si>
    <t xml:space="preserve">2026-07-07</t>
  </si>
  <si>
    <t xml:space="preserve">08-12-17-28-30-40</t>
  </si>
  <si>
    <t xml:space="preserve">02-19-27-31-33-35</t>
  </si>
  <si>
    <t xml:space="preserve">05-15-21-22-30-41</t>
  </si>
  <si>
    <t xml:space="preserve">01-09-10-17-20-38</t>
  </si>
  <si>
    <t xml:space="preserve">01-05-12-45-51-57</t>
  </si>
  <si>
    <t xml:space="preserve">06-15-27-42-43-44</t>
  </si>
  <si>
    <t xml:space="preserve">2026-07-08</t>
  </si>
  <si>
    <t xml:space="preserve">09-25-26-32-34-44</t>
  </si>
  <si>
    <t xml:space="preserve">02-06-10-14-28-40</t>
  </si>
  <si>
    <t xml:space="preserve">01-06-19-25-31-54</t>
  </si>
  <si>
    <t xml:space="preserve">27-36-38-47-50-53</t>
  </si>
  <si>
    <t xml:space="preserve">2026-07-09</t>
  </si>
  <si>
    <t xml:space="preserve">08-18-27-30-38-42</t>
  </si>
  <si>
    <t xml:space="preserve">07-11-12-17-20-40</t>
  </si>
  <si>
    <t xml:space="preserve">03-05-19-27-37-44</t>
  </si>
  <si>
    <t xml:space="preserve">01-12-23-30-34-40</t>
  </si>
  <si>
    <t xml:space="preserve">2026-07-10</t>
  </si>
  <si>
    <t xml:space="preserve">08-17-24-32-34-37</t>
  </si>
  <si>
    <t xml:space="preserve">05-14-15-21-30-38</t>
  </si>
  <si>
    <t xml:space="preserve">07-08-13-29-37-40</t>
  </si>
  <si>
    <t xml:space="preserve">06-10-17-18-36-51</t>
  </si>
  <si>
    <t xml:space="preserve">2026-07-11</t>
  </si>
  <si>
    <t xml:space="preserve">06-12-16-20-28-32</t>
  </si>
  <si>
    <t xml:space="preserve">03-13-14-25-31-41</t>
  </si>
  <si>
    <t xml:space="preserve">03-05-23-29-35-40</t>
  </si>
  <si>
    <t xml:space="preserve">12-19-20-26-49-54</t>
  </si>
  <si>
    <t xml:space="preserve">2026-07-12</t>
  </si>
  <si>
    <t xml:space="preserve">05-15-16-23-29-33</t>
  </si>
  <si>
    <t xml:space="preserve">20-21-26-43-47-48</t>
  </si>
  <si>
    <t xml:space="preserve">05-10-28-30-51-52</t>
  </si>
  <si>
    <t xml:space="preserve">01-15-23-35-39-55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</si>
</sst>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0000"/>
    <numFmt numFmtId="167" formatCode="0.0000000"/>
    <numFmt numFmtId="168" formatCode="0.000000"/>
    <numFmt numFmtId="169" formatCode="0.0000"/>
    <numFmt numFmtId="170" formatCode="0.00"/>
    <numFmt numFmtId="171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3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customFormat="false" ht="15" hidden="false" customHeight="true" outlineLevel="0" collapsed="false">
      <c r="A2" s="6" t="s">
        <v>26</v>
      </c>
      <c r="B2" s="6" t="s">
        <v>27</v>
      </c>
      <c r="C2" s="6" t="n">
        <v>3</v>
      </c>
      <c r="D2" s="6" t="n">
        <v>29</v>
      </c>
      <c r="E2" s="6" t="n">
        <v>12</v>
      </c>
      <c r="F2" s="6" t="n">
        <v>33</v>
      </c>
      <c r="G2" s="6" t="n">
        <v>10</v>
      </c>
      <c r="H2" s="6" t="n">
        <v>16</v>
      </c>
    </row>
    <row r="3" customFormat="false" ht="15" hidden="false" customHeight="true" outlineLevel="0" collapsed="false">
      <c r="A3" s="6" t="s">
        <v>26</v>
      </c>
      <c r="B3" s="6" t="s">
        <v>28</v>
      </c>
      <c r="C3" s="6" t="n">
        <v>35</v>
      </c>
      <c r="D3" s="6" t="n">
        <v>2</v>
      </c>
      <c r="E3" s="6" t="n">
        <v>40</v>
      </c>
      <c r="F3" s="6" t="n">
        <v>36</v>
      </c>
      <c r="G3" s="6" t="n">
        <v>13</v>
      </c>
      <c r="H3" s="6" t="n">
        <v>16</v>
      </c>
    </row>
    <row r="4" customFormat="false" ht="15" hidden="false" customHeight="true" outlineLevel="0" collapsed="false">
      <c r="A4" s="6" t="s">
        <v>26</v>
      </c>
      <c r="B4" s="6" t="s">
        <v>29</v>
      </c>
      <c r="C4" s="6" t="n">
        <v>26</v>
      </c>
      <c r="D4" s="6" t="n">
        <v>13</v>
      </c>
      <c r="E4" s="6" t="n">
        <v>35</v>
      </c>
      <c r="F4" s="6" t="n">
        <v>11</v>
      </c>
      <c r="G4" s="6" t="n">
        <v>18</v>
      </c>
      <c r="H4" s="6" t="n">
        <v>32</v>
      </c>
    </row>
    <row r="5" customFormat="false" ht="15" hidden="false" customHeight="true" outlineLevel="0" collapsed="false">
      <c r="A5" s="6" t="s">
        <v>26</v>
      </c>
      <c r="B5" s="6" t="s">
        <v>30</v>
      </c>
      <c r="C5" s="6" t="n">
        <v>17</v>
      </c>
      <c r="D5" s="6" t="n">
        <v>36</v>
      </c>
      <c r="E5" s="6" t="n">
        <v>5</v>
      </c>
      <c r="F5" s="6" t="n">
        <v>7</v>
      </c>
      <c r="G5" s="6" t="n">
        <v>8</v>
      </c>
      <c r="H5" s="6" t="n">
        <v>38</v>
      </c>
    </row>
    <row r="6" customFormat="false" ht="15" hidden="false" customHeight="true" outlineLevel="0" collapsed="false">
      <c r="A6" s="6" t="s">
        <v>26</v>
      </c>
      <c r="B6" s="6" t="s">
        <v>31</v>
      </c>
      <c r="C6" s="6" t="n">
        <v>25</v>
      </c>
      <c r="D6" s="6" t="n">
        <v>29</v>
      </c>
      <c r="E6" s="6" t="n">
        <v>17</v>
      </c>
      <c r="F6" s="6" t="n">
        <v>41</v>
      </c>
      <c r="G6" s="6" t="n">
        <v>23</v>
      </c>
      <c r="H6" s="6" t="n">
        <v>13</v>
      </c>
    </row>
    <row r="7" customFormat="false" ht="15" hidden="false" customHeight="true" outlineLevel="0" collapsed="false">
      <c r="A7" s="6" t="s">
        <v>26</v>
      </c>
      <c r="B7" s="6" t="s">
        <v>32</v>
      </c>
      <c r="C7" s="6" t="n">
        <v>18</v>
      </c>
      <c r="D7" s="6" t="n">
        <v>12</v>
      </c>
      <c r="E7" s="6" t="n">
        <v>37</v>
      </c>
      <c r="F7" s="6" t="n">
        <v>2</v>
      </c>
      <c r="G7" s="6" t="n">
        <v>30</v>
      </c>
      <c r="H7" s="6" t="n">
        <v>24</v>
      </c>
    </row>
    <row r="8" customFormat="false" ht="15" hidden="false" customHeight="true" outlineLevel="0" collapsed="false">
      <c r="A8" s="6" t="s">
        <v>26</v>
      </c>
      <c r="B8" s="6" t="s">
        <v>33</v>
      </c>
      <c r="C8" s="6" t="n">
        <v>13</v>
      </c>
      <c r="D8" s="6" t="n">
        <v>41</v>
      </c>
      <c r="E8" s="6" t="n">
        <v>27</v>
      </c>
      <c r="F8" s="6" t="n">
        <v>29</v>
      </c>
      <c r="G8" s="6" t="n">
        <v>42</v>
      </c>
      <c r="H8" s="6" t="n">
        <v>8</v>
      </c>
    </row>
    <row r="9" customFormat="false" ht="15" hidden="false" customHeight="true" outlineLevel="0" collapsed="false">
      <c r="A9" s="6" t="s">
        <v>26</v>
      </c>
      <c r="B9" s="6" t="s">
        <v>34</v>
      </c>
      <c r="C9" s="6" t="n">
        <v>29</v>
      </c>
      <c r="D9" s="6" t="n">
        <v>15</v>
      </c>
      <c r="E9" s="6" t="n">
        <v>3</v>
      </c>
      <c r="F9" s="6" t="n">
        <v>18</v>
      </c>
      <c r="G9" s="6" t="n">
        <v>23</v>
      </c>
      <c r="H9" s="6" t="n">
        <v>30</v>
      </c>
    </row>
    <row r="10" customFormat="false" ht="15" hidden="false" customHeight="true" outlineLevel="0" collapsed="false">
      <c r="A10" s="6" t="s">
        <v>26</v>
      </c>
      <c r="B10" s="6" t="s">
        <v>35</v>
      </c>
      <c r="C10" s="6" t="n">
        <v>11</v>
      </c>
      <c r="D10" s="6" t="n">
        <v>23</v>
      </c>
      <c r="E10" s="6" t="n">
        <v>9</v>
      </c>
      <c r="F10" s="6" t="n">
        <v>5</v>
      </c>
      <c r="G10" s="6" t="n">
        <v>1</v>
      </c>
      <c r="H10" s="6" t="n">
        <v>3</v>
      </c>
    </row>
    <row r="11" customFormat="false" ht="15" hidden="false" customHeight="true" outlineLevel="0" collapsed="false">
      <c r="A11" s="6" t="s">
        <v>26</v>
      </c>
      <c r="B11" s="6" t="s">
        <v>36</v>
      </c>
      <c r="C11" s="6" t="n">
        <v>16</v>
      </c>
      <c r="D11" s="6" t="n">
        <v>22</v>
      </c>
      <c r="E11" s="6" t="n">
        <v>3</v>
      </c>
      <c r="F11" s="6" t="n">
        <v>30</v>
      </c>
      <c r="G11" s="6" t="n">
        <v>36</v>
      </c>
      <c r="H11" s="6" t="n">
        <v>4</v>
      </c>
    </row>
    <row r="12" customFormat="false" ht="15" hidden="false" customHeight="true" outlineLevel="0" collapsed="false">
      <c r="A12" s="6" t="s">
        <v>26</v>
      </c>
      <c r="B12" s="6" t="s">
        <v>37</v>
      </c>
      <c r="C12" s="6" t="n">
        <v>6</v>
      </c>
      <c r="D12" s="6" t="n">
        <v>37</v>
      </c>
      <c r="E12" s="6" t="n">
        <v>23</v>
      </c>
      <c r="F12" s="6" t="n">
        <v>2</v>
      </c>
      <c r="G12" s="6" t="n">
        <v>39</v>
      </c>
      <c r="H12" s="6" t="n">
        <v>31</v>
      </c>
    </row>
    <row r="13" customFormat="false" ht="15" hidden="false" customHeight="true" outlineLevel="0" collapsed="false">
      <c r="A13" s="6" t="s">
        <v>26</v>
      </c>
      <c r="B13" s="6" t="s">
        <v>38</v>
      </c>
      <c r="C13" s="6" t="n">
        <v>41</v>
      </c>
      <c r="D13" s="6" t="n">
        <v>38</v>
      </c>
      <c r="E13" s="6" t="n">
        <v>3</v>
      </c>
      <c r="F13" s="6" t="n">
        <v>5</v>
      </c>
      <c r="G13" s="6" t="n">
        <v>11</v>
      </c>
      <c r="H13" s="6" t="n">
        <v>6</v>
      </c>
    </row>
    <row r="14" customFormat="false" ht="15" hidden="false" customHeight="true" outlineLevel="0" collapsed="false">
      <c r="A14" s="6" t="s">
        <v>26</v>
      </c>
      <c r="B14" s="6" t="s">
        <v>39</v>
      </c>
      <c r="C14" s="6" t="n">
        <v>20</v>
      </c>
      <c r="D14" s="6" t="n">
        <v>17</v>
      </c>
      <c r="E14" s="6" t="n">
        <v>39</v>
      </c>
      <c r="F14" s="6" t="n">
        <v>35</v>
      </c>
      <c r="G14" s="6" t="n">
        <v>10</v>
      </c>
      <c r="H14" s="6" t="n">
        <v>34</v>
      </c>
    </row>
    <row r="15" customFormat="false" ht="15" hidden="false" customHeight="true" outlineLevel="0" collapsed="false">
      <c r="A15" s="6" t="s">
        <v>26</v>
      </c>
      <c r="B15" s="6" t="s">
        <v>40</v>
      </c>
      <c r="C15" s="6" t="n">
        <v>15</v>
      </c>
      <c r="D15" s="6" t="n">
        <v>9</v>
      </c>
      <c r="E15" s="6" t="n">
        <v>17</v>
      </c>
      <c r="F15" s="6" t="n">
        <v>12</v>
      </c>
      <c r="G15" s="6" t="n">
        <v>10</v>
      </c>
      <c r="H15" s="6" t="n">
        <v>7</v>
      </c>
    </row>
    <row r="16" customFormat="false" ht="15" hidden="false" customHeight="true" outlineLevel="0" collapsed="false">
      <c r="A16" s="6" t="s">
        <v>26</v>
      </c>
      <c r="B16" s="6" t="s">
        <v>41</v>
      </c>
      <c r="C16" s="6" t="n">
        <v>42</v>
      </c>
      <c r="D16" s="6" t="n">
        <v>41</v>
      </c>
      <c r="E16" s="6" t="n">
        <v>17</v>
      </c>
      <c r="F16" s="6" t="n">
        <v>27</v>
      </c>
      <c r="G16" s="6" t="n">
        <v>6</v>
      </c>
      <c r="H16" s="6" t="n">
        <v>7</v>
      </c>
    </row>
    <row r="17" customFormat="false" ht="15" hidden="false" customHeight="true" outlineLevel="0" collapsed="false">
      <c r="A17" s="6" t="s">
        <v>26</v>
      </c>
      <c r="B17" s="6" t="s">
        <v>42</v>
      </c>
      <c r="C17" s="6" t="n">
        <v>21</v>
      </c>
      <c r="D17" s="6" t="n">
        <v>35</v>
      </c>
      <c r="E17" s="6" t="n">
        <v>29</v>
      </c>
      <c r="F17" s="6" t="n">
        <v>5</v>
      </c>
      <c r="G17" s="6" t="n">
        <v>36</v>
      </c>
      <c r="H17" s="6" t="n">
        <v>37</v>
      </c>
    </row>
    <row r="18" customFormat="false" ht="15" hidden="false" customHeight="true" outlineLevel="0" collapsed="false">
      <c r="A18" s="6" t="s">
        <v>26</v>
      </c>
      <c r="B18" s="6" t="s">
        <v>43</v>
      </c>
      <c r="C18" s="6" t="n">
        <v>22</v>
      </c>
      <c r="D18" s="6" t="n">
        <v>4</v>
      </c>
      <c r="E18" s="6" t="n">
        <v>33</v>
      </c>
      <c r="F18" s="6" t="n">
        <v>11</v>
      </c>
      <c r="G18" s="6" t="n">
        <v>9</v>
      </c>
      <c r="H18" s="6" t="n">
        <v>15</v>
      </c>
    </row>
    <row r="19" customFormat="false" ht="15" hidden="false" customHeight="true" outlineLevel="0" collapsed="false">
      <c r="A19" s="6" t="s">
        <v>26</v>
      </c>
      <c r="B19" s="6" t="s">
        <v>44</v>
      </c>
      <c r="C19" s="6" t="n">
        <v>9</v>
      </c>
      <c r="D19" s="6" t="n">
        <v>23</v>
      </c>
      <c r="E19" s="6" t="n">
        <v>41</v>
      </c>
      <c r="F19" s="6" t="n">
        <v>37</v>
      </c>
      <c r="G19" s="6" t="n">
        <v>24</v>
      </c>
      <c r="H19" s="6" t="n">
        <v>10</v>
      </c>
    </row>
    <row r="20" customFormat="false" ht="15" hidden="false" customHeight="true" outlineLevel="0" collapsed="false">
      <c r="A20" s="6" t="s">
        <v>26</v>
      </c>
      <c r="B20" s="6" t="s">
        <v>45</v>
      </c>
      <c r="C20" s="6" t="n">
        <v>26</v>
      </c>
      <c r="D20" s="6" t="n">
        <v>32</v>
      </c>
      <c r="E20" s="6" t="n">
        <v>19</v>
      </c>
      <c r="F20" s="6" t="n">
        <v>1</v>
      </c>
      <c r="G20" s="6" t="n">
        <v>22</v>
      </c>
      <c r="H20" s="6" t="n">
        <v>17</v>
      </c>
    </row>
    <row r="21" customFormat="false" ht="15" hidden="false" customHeight="true" outlineLevel="0" collapsed="false">
      <c r="A21" s="6" t="s">
        <v>26</v>
      </c>
      <c r="B21" s="6" t="s">
        <v>46</v>
      </c>
      <c r="C21" s="6" t="n">
        <v>15</v>
      </c>
      <c r="D21" s="6" t="n">
        <v>9</v>
      </c>
      <c r="E21" s="6" t="n">
        <v>12</v>
      </c>
      <c r="F21" s="6" t="n">
        <v>16</v>
      </c>
      <c r="G21" s="6" t="n">
        <v>37</v>
      </c>
      <c r="H21" s="6" t="n">
        <v>35</v>
      </c>
    </row>
    <row r="22" customFormat="false" ht="15" hidden="false" customHeight="true" outlineLevel="0" collapsed="false">
      <c r="A22" s="6" t="s">
        <v>26</v>
      </c>
      <c r="B22" s="6" t="s">
        <v>47</v>
      </c>
      <c r="C22" s="6" t="n">
        <v>7</v>
      </c>
      <c r="D22" s="6" t="n">
        <v>24</v>
      </c>
      <c r="E22" s="6" t="n">
        <v>41</v>
      </c>
      <c r="F22" s="6" t="n">
        <v>42</v>
      </c>
      <c r="G22" s="6" t="n">
        <v>29</v>
      </c>
      <c r="H22" s="6" t="n">
        <v>40</v>
      </c>
    </row>
    <row r="23" customFormat="false" ht="15" hidden="false" customHeight="true" outlineLevel="0" collapsed="false">
      <c r="A23" s="6" t="s">
        <v>26</v>
      </c>
      <c r="B23" s="6" t="s">
        <v>48</v>
      </c>
      <c r="C23" s="6" t="n">
        <v>22</v>
      </c>
      <c r="D23" s="6" t="n">
        <v>34</v>
      </c>
      <c r="E23" s="6" t="n">
        <v>42</v>
      </c>
      <c r="F23" s="6" t="n">
        <v>19</v>
      </c>
      <c r="G23" s="6" t="n">
        <v>3</v>
      </c>
      <c r="H23" s="6" t="n">
        <v>25</v>
      </c>
    </row>
    <row r="24" customFormat="false" ht="15" hidden="false" customHeight="true" outlineLevel="0" collapsed="false">
      <c r="A24" s="6" t="s">
        <v>26</v>
      </c>
      <c r="B24" s="6" t="s">
        <v>49</v>
      </c>
      <c r="C24" s="6" t="n">
        <v>31</v>
      </c>
      <c r="D24" s="6" t="n">
        <v>28</v>
      </c>
      <c r="E24" s="6" t="n">
        <v>19</v>
      </c>
      <c r="F24" s="6" t="n">
        <v>3</v>
      </c>
      <c r="G24" s="6" t="n">
        <v>2</v>
      </c>
      <c r="H24" s="6" t="n">
        <v>4</v>
      </c>
    </row>
    <row r="25" customFormat="false" ht="15" hidden="false" customHeight="true" outlineLevel="0" collapsed="false">
      <c r="A25" s="6" t="s">
        <v>26</v>
      </c>
      <c r="B25" s="6" t="s">
        <v>50</v>
      </c>
      <c r="C25" s="6" t="n">
        <v>28</v>
      </c>
      <c r="D25" s="6" t="n">
        <v>20</v>
      </c>
      <c r="E25" s="6" t="n">
        <v>36</v>
      </c>
      <c r="F25" s="6" t="n">
        <v>29</v>
      </c>
      <c r="G25" s="6" t="n">
        <v>11</v>
      </c>
      <c r="H25" s="6" t="n">
        <v>27</v>
      </c>
    </row>
    <row r="26" customFormat="false" ht="15" hidden="false" customHeight="true" outlineLevel="0" collapsed="false">
      <c r="A26" s="6" t="s">
        <v>26</v>
      </c>
      <c r="B26" s="6" t="s">
        <v>51</v>
      </c>
      <c r="C26" s="6" t="n">
        <v>27</v>
      </c>
      <c r="D26" s="6" t="n">
        <v>6</v>
      </c>
      <c r="E26" s="6" t="n">
        <v>42</v>
      </c>
      <c r="F26" s="6" t="n">
        <v>13</v>
      </c>
      <c r="G26" s="6" t="n">
        <v>12</v>
      </c>
      <c r="H26" s="6" t="n">
        <v>4</v>
      </c>
    </row>
    <row r="27" customFormat="false" ht="15" hidden="false" customHeight="true" outlineLevel="0" collapsed="false">
      <c r="A27" s="6" t="s">
        <v>26</v>
      </c>
      <c r="B27" s="6" t="s">
        <v>52</v>
      </c>
      <c r="C27" s="6" t="n">
        <v>41</v>
      </c>
      <c r="D27" s="6" t="n">
        <v>38</v>
      </c>
      <c r="E27" s="6" t="n">
        <v>12</v>
      </c>
      <c r="F27" s="6" t="n">
        <v>14</v>
      </c>
      <c r="G27" s="6" t="n">
        <v>37</v>
      </c>
      <c r="H27" s="6" t="n">
        <v>25</v>
      </c>
    </row>
    <row r="28" customFormat="false" ht="15" hidden="false" customHeight="true" outlineLevel="0" collapsed="false">
      <c r="A28" s="6" t="s">
        <v>26</v>
      </c>
      <c r="B28" s="6" t="s">
        <v>53</v>
      </c>
      <c r="C28" s="6" t="n">
        <v>23</v>
      </c>
      <c r="D28" s="6" t="n">
        <v>40</v>
      </c>
      <c r="E28" s="6" t="n">
        <v>20</v>
      </c>
      <c r="F28" s="6" t="n">
        <v>6</v>
      </c>
      <c r="G28" s="6" t="n">
        <v>34</v>
      </c>
      <c r="H28" s="6" t="n">
        <v>33</v>
      </c>
    </row>
    <row r="29" customFormat="false" ht="15" hidden="false" customHeight="true" outlineLevel="0" collapsed="false">
      <c r="A29" s="6" t="s">
        <v>26</v>
      </c>
      <c r="B29" s="6" t="s">
        <v>54</v>
      </c>
      <c r="C29" s="6" t="n">
        <v>7</v>
      </c>
      <c r="D29" s="6" t="n">
        <v>28</v>
      </c>
      <c r="E29" s="6" t="n">
        <v>26</v>
      </c>
      <c r="F29" s="6" t="n">
        <v>32</v>
      </c>
      <c r="G29" s="6" t="n">
        <v>25</v>
      </c>
      <c r="H29" s="6" t="n">
        <v>12</v>
      </c>
    </row>
    <row r="30" customFormat="false" ht="15" hidden="false" customHeight="true" outlineLevel="0" collapsed="false">
      <c r="A30" s="6" t="s">
        <v>26</v>
      </c>
      <c r="B30" s="6" t="s">
        <v>55</v>
      </c>
      <c r="C30" s="6" t="n">
        <v>15</v>
      </c>
      <c r="D30" s="6" t="n">
        <v>6</v>
      </c>
      <c r="E30" s="6" t="n">
        <v>31</v>
      </c>
      <c r="F30" s="6" t="n">
        <v>16</v>
      </c>
      <c r="G30" s="6" t="n">
        <v>22</v>
      </c>
      <c r="H30" s="6" t="n">
        <v>25</v>
      </c>
    </row>
    <row r="31" customFormat="false" ht="15" hidden="false" customHeight="true" outlineLevel="0" collapsed="false">
      <c r="A31" s="6" t="s">
        <v>26</v>
      </c>
      <c r="B31" s="6" t="s">
        <v>56</v>
      </c>
      <c r="C31" s="6" t="n">
        <v>33</v>
      </c>
      <c r="D31" s="6" t="n">
        <v>8</v>
      </c>
      <c r="E31" s="6" t="n">
        <v>5</v>
      </c>
      <c r="F31" s="6" t="n">
        <v>17</v>
      </c>
      <c r="G31" s="6" t="n">
        <v>18</v>
      </c>
      <c r="H31" s="6" t="n">
        <v>41</v>
      </c>
    </row>
    <row r="32" customFormat="false" ht="15" hidden="false" customHeight="true" outlineLevel="0" collapsed="false">
      <c r="A32" s="6" t="s">
        <v>26</v>
      </c>
      <c r="B32" s="6" t="s">
        <v>57</v>
      </c>
      <c r="C32" s="6" t="n">
        <v>12</v>
      </c>
      <c r="D32" s="6" t="n">
        <v>18</v>
      </c>
      <c r="E32" s="6" t="n">
        <v>3</v>
      </c>
      <c r="F32" s="6" t="n">
        <v>17</v>
      </c>
      <c r="G32" s="6" t="n">
        <v>5</v>
      </c>
      <c r="H32" s="6" t="n">
        <v>8</v>
      </c>
    </row>
    <row r="33" customFormat="false" ht="15" hidden="false" customHeight="true" outlineLevel="0" collapsed="false">
      <c r="A33" s="6" t="s">
        <v>26</v>
      </c>
      <c r="B33" s="6" t="s">
        <v>58</v>
      </c>
      <c r="C33" s="6" t="n">
        <v>15</v>
      </c>
      <c r="D33" s="6" t="n">
        <v>8</v>
      </c>
      <c r="E33" s="6" t="n">
        <v>34</v>
      </c>
      <c r="F33" s="6" t="n">
        <v>13</v>
      </c>
      <c r="G33" s="6" t="n">
        <v>25</v>
      </c>
      <c r="H33" s="6" t="n">
        <v>38</v>
      </c>
    </row>
    <row r="34" customFormat="false" ht="15" hidden="false" customHeight="true" outlineLevel="0" collapsed="false">
      <c r="A34" s="6" t="s">
        <v>26</v>
      </c>
      <c r="B34" s="6" t="s">
        <v>59</v>
      </c>
      <c r="C34" s="6" t="n">
        <v>39</v>
      </c>
      <c r="D34" s="6" t="n">
        <v>38</v>
      </c>
      <c r="E34" s="6" t="n">
        <v>34</v>
      </c>
      <c r="F34" s="6" t="n">
        <v>21</v>
      </c>
      <c r="G34" s="6" t="n">
        <v>10</v>
      </c>
      <c r="H34" s="6" t="n">
        <v>3</v>
      </c>
    </row>
    <row r="35" customFormat="false" ht="15" hidden="false" customHeight="true" outlineLevel="0" collapsed="false">
      <c r="A35" s="6" t="s">
        <v>26</v>
      </c>
      <c r="B35" s="6" t="s">
        <v>60</v>
      </c>
      <c r="C35" s="6" t="n">
        <v>3</v>
      </c>
      <c r="D35" s="6" t="n">
        <v>21</v>
      </c>
      <c r="E35" s="6" t="n">
        <v>2</v>
      </c>
      <c r="F35" s="6" t="n">
        <v>14</v>
      </c>
      <c r="G35" s="6" t="n">
        <v>33</v>
      </c>
      <c r="H35" s="6" t="n">
        <v>1</v>
      </c>
    </row>
    <row r="36" customFormat="false" ht="15" hidden="false" customHeight="true" outlineLevel="0" collapsed="false">
      <c r="A36" s="6" t="s">
        <v>26</v>
      </c>
      <c r="B36" s="6" t="s">
        <v>61</v>
      </c>
      <c r="C36" s="6" t="n">
        <v>18</v>
      </c>
      <c r="D36" s="6" t="n">
        <v>16</v>
      </c>
      <c r="E36" s="6" t="n">
        <v>37</v>
      </c>
      <c r="F36" s="6" t="n">
        <v>13</v>
      </c>
      <c r="G36" s="6" t="n">
        <v>35</v>
      </c>
      <c r="H36" s="6" t="n">
        <v>23</v>
      </c>
    </row>
    <row r="37" customFormat="false" ht="15" hidden="false" customHeight="true" outlineLevel="0" collapsed="false">
      <c r="A37" s="6" t="s">
        <v>26</v>
      </c>
      <c r="B37" s="6" t="s">
        <v>62</v>
      </c>
      <c r="C37" s="6" t="n">
        <v>2</v>
      </c>
      <c r="D37" s="6" t="n">
        <v>39</v>
      </c>
      <c r="E37" s="6" t="n">
        <v>30</v>
      </c>
      <c r="F37" s="6" t="n">
        <v>10</v>
      </c>
      <c r="G37" s="6" t="n">
        <v>14</v>
      </c>
      <c r="H37" s="6" t="n">
        <v>29</v>
      </c>
    </row>
    <row r="38" customFormat="false" ht="15" hidden="false" customHeight="true" outlineLevel="0" collapsed="false">
      <c r="A38" s="6" t="s">
        <v>26</v>
      </c>
      <c r="B38" s="6" t="s">
        <v>63</v>
      </c>
      <c r="C38" s="6" t="n">
        <v>33</v>
      </c>
      <c r="D38" s="6" t="n">
        <v>38</v>
      </c>
      <c r="E38" s="6" t="n">
        <v>34</v>
      </c>
      <c r="F38" s="6" t="n">
        <v>28</v>
      </c>
      <c r="G38" s="6" t="n">
        <v>36</v>
      </c>
      <c r="H38" s="6" t="n">
        <v>7</v>
      </c>
    </row>
    <row r="39" customFormat="false" ht="15" hidden="false" customHeight="true" outlineLevel="0" collapsed="false">
      <c r="A39" s="6" t="s">
        <v>26</v>
      </c>
      <c r="B39" s="6" t="s">
        <v>64</v>
      </c>
      <c r="C39" s="6" t="n">
        <v>40</v>
      </c>
      <c r="D39" s="6" t="n">
        <v>3</v>
      </c>
      <c r="E39" s="6" t="n">
        <v>36</v>
      </c>
      <c r="F39" s="6" t="n">
        <v>41</v>
      </c>
      <c r="G39" s="6" t="n">
        <v>28</v>
      </c>
      <c r="H39" s="6" t="n">
        <v>18</v>
      </c>
    </row>
    <row r="40" customFormat="false" ht="15" hidden="false" customHeight="true" outlineLevel="0" collapsed="false">
      <c r="A40" s="6" t="s">
        <v>26</v>
      </c>
      <c r="B40" s="6" t="s">
        <v>65</v>
      </c>
      <c r="C40" s="6" t="n">
        <v>12</v>
      </c>
      <c r="D40" s="6" t="n">
        <v>22</v>
      </c>
      <c r="E40" s="6" t="n">
        <v>24</v>
      </c>
      <c r="F40" s="6" t="n">
        <v>38</v>
      </c>
      <c r="G40" s="6" t="n">
        <v>7</v>
      </c>
      <c r="H40" s="6" t="n">
        <v>13</v>
      </c>
    </row>
    <row r="41" customFormat="false" ht="15" hidden="false" customHeight="true" outlineLevel="0" collapsed="false">
      <c r="A41" s="6" t="s">
        <v>26</v>
      </c>
      <c r="B41" s="6" t="s">
        <v>66</v>
      </c>
      <c r="C41" s="6" t="n">
        <v>17</v>
      </c>
      <c r="D41" s="6" t="n">
        <v>42</v>
      </c>
      <c r="E41" s="6" t="n">
        <v>13</v>
      </c>
      <c r="F41" s="6" t="n">
        <v>36</v>
      </c>
      <c r="G41" s="6" t="n">
        <v>1</v>
      </c>
      <c r="H41" s="6" t="n">
        <v>31</v>
      </c>
    </row>
    <row r="42" customFormat="false" ht="15" hidden="false" customHeight="true" outlineLevel="0" collapsed="false">
      <c r="A42" s="6" t="s">
        <v>26</v>
      </c>
      <c r="B42" s="6" t="s">
        <v>67</v>
      </c>
      <c r="C42" s="6" t="n">
        <v>35</v>
      </c>
      <c r="D42" s="6" t="n">
        <v>38</v>
      </c>
      <c r="E42" s="6" t="n">
        <v>39</v>
      </c>
      <c r="F42" s="6" t="n">
        <v>32</v>
      </c>
      <c r="G42" s="6" t="n">
        <v>37</v>
      </c>
      <c r="H42" s="6" t="n">
        <v>16</v>
      </c>
    </row>
    <row r="43" customFormat="false" ht="15" hidden="false" customHeight="true" outlineLevel="0" collapsed="false">
      <c r="A43" s="6" t="s">
        <v>68</v>
      </c>
      <c r="B43" s="6" t="s">
        <v>69</v>
      </c>
      <c r="C43" s="6" t="n">
        <v>19</v>
      </c>
      <c r="D43" s="6" t="n">
        <v>36</v>
      </c>
      <c r="E43" s="6" t="n">
        <v>10</v>
      </c>
      <c r="F43" s="6" t="n">
        <v>23</v>
      </c>
      <c r="G43" s="6" t="n">
        <v>31</v>
      </c>
      <c r="H43" s="6" t="n">
        <v>20</v>
      </c>
    </row>
    <row r="44" customFormat="false" ht="15" hidden="false" customHeight="true" outlineLevel="0" collapsed="false">
      <c r="A44" s="6" t="s">
        <v>68</v>
      </c>
      <c r="B44" s="6" t="s">
        <v>70</v>
      </c>
      <c r="C44" s="6" t="n">
        <v>32</v>
      </c>
      <c r="D44" s="6" t="n">
        <v>5</v>
      </c>
      <c r="E44" s="6" t="n">
        <v>14</v>
      </c>
      <c r="F44" s="6" t="n">
        <v>42</v>
      </c>
      <c r="G44" s="6" t="n">
        <v>41</v>
      </c>
      <c r="H44" s="6" t="n">
        <v>37</v>
      </c>
    </row>
    <row r="45" customFormat="false" ht="15" hidden="false" customHeight="true" outlineLevel="0" collapsed="false">
      <c r="A45" s="6" t="s">
        <v>68</v>
      </c>
      <c r="B45" s="6" t="s">
        <v>71</v>
      </c>
      <c r="C45" s="6" t="n">
        <v>45</v>
      </c>
      <c r="D45" s="6" t="n">
        <v>34</v>
      </c>
      <c r="E45" s="6" t="n">
        <v>6</v>
      </c>
      <c r="F45" s="6" t="n">
        <v>14</v>
      </c>
      <c r="G45" s="6" t="n">
        <v>24</v>
      </c>
      <c r="H45" s="6" t="n">
        <v>8</v>
      </c>
    </row>
    <row r="46" customFormat="false" ht="15" hidden="false" customHeight="true" outlineLevel="0" collapsed="false">
      <c r="A46" s="6" t="s">
        <v>68</v>
      </c>
      <c r="B46" s="6" t="s">
        <v>72</v>
      </c>
      <c r="C46" s="6" t="n">
        <v>10</v>
      </c>
      <c r="D46" s="6" t="n">
        <v>34</v>
      </c>
      <c r="E46" s="6" t="n">
        <v>1</v>
      </c>
      <c r="F46" s="6" t="n">
        <v>12</v>
      </c>
      <c r="G46" s="6" t="n">
        <v>45</v>
      </c>
      <c r="H46" s="6" t="n">
        <v>41</v>
      </c>
    </row>
    <row r="47" customFormat="false" ht="15" hidden="false" customHeight="true" outlineLevel="0" collapsed="false">
      <c r="A47" s="6" t="s">
        <v>68</v>
      </c>
      <c r="B47" s="6" t="s">
        <v>73</v>
      </c>
      <c r="C47" s="6" t="n">
        <v>31</v>
      </c>
      <c r="D47" s="6" t="n">
        <v>28</v>
      </c>
      <c r="E47" s="6" t="n">
        <v>19</v>
      </c>
      <c r="F47" s="6" t="n">
        <v>25</v>
      </c>
      <c r="G47" s="6" t="n">
        <v>4</v>
      </c>
      <c r="H47" s="6" t="n">
        <v>3</v>
      </c>
    </row>
    <row r="48" customFormat="false" ht="15" hidden="false" customHeight="true" outlineLevel="0" collapsed="false">
      <c r="A48" s="6" t="s">
        <v>68</v>
      </c>
      <c r="B48" s="6" t="s">
        <v>74</v>
      </c>
      <c r="C48" s="6" t="n">
        <v>24</v>
      </c>
      <c r="D48" s="6" t="n">
        <v>43</v>
      </c>
      <c r="E48" s="6" t="n">
        <v>28</v>
      </c>
      <c r="F48" s="6" t="n">
        <v>8</v>
      </c>
      <c r="G48" s="6" t="n">
        <v>4</v>
      </c>
      <c r="H48" s="6" t="n">
        <v>27</v>
      </c>
    </row>
    <row r="49" customFormat="false" ht="15" hidden="false" customHeight="true" outlineLevel="0" collapsed="false">
      <c r="A49" s="6" t="s">
        <v>68</v>
      </c>
      <c r="B49" s="6" t="s">
        <v>75</v>
      </c>
      <c r="C49" s="6" t="n">
        <v>17</v>
      </c>
      <c r="D49" s="6" t="n">
        <v>24</v>
      </c>
      <c r="E49" s="6" t="n">
        <v>15</v>
      </c>
      <c r="F49" s="6" t="n">
        <v>29</v>
      </c>
      <c r="G49" s="6" t="n">
        <v>10</v>
      </c>
      <c r="H49" s="6" t="n">
        <v>5</v>
      </c>
    </row>
    <row r="50" customFormat="false" ht="15" hidden="false" customHeight="true" outlineLevel="0" collapsed="false">
      <c r="A50" s="6" t="s">
        <v>68</v>
      </c>
      <c r="B50" s="6" t="s">
        <v>76</v>
      </c>
      <c r="C50" s="6" t="n">
        <v>19</v>
      </c>
      <c r="D50" s="6" t="n">
        <v>38</v>
      </c>
      <c r="E50" s="6" t="n">
        <v>36</v>
      </c>
      <c r="F50" s="6" t="n">
        <v>31</v>
      </c>
      <c r="G50" s="6" t="n">
        <v>27</v>
      </c>
      <c r="H50" s="6" t="n">
        <v>2</v>
      </c>
    </row>
    <row r="51" customFormat="false" ht="15" hidden="false" customHeight="true" outlineLevel="0" collapsed="false">
      <c r="A51" s="6" t="s">
        <v>68</v>
      </c>
      <c r="B51" s="6" t="s">
        <v>77</v>
      </c>
      <c r="C51" s="6" t="n">
        <v>3</v>
      </c>
      <c r="D51" s="6" t="n">
        <v>27</v>
      </c>
      <c r="E51" s="6" t="n">
        <v>24</v>
      </c>
      <c r="F51" s="6" t="n">
        <v>7</v>
      </c>
      <c r="G51" s="6" t="n">
        <v>43</v>
      </c>
      <c r="H51" s="6" t="n">
        <v>13</v>
      </c>
    </row>
    <row r="52" customFormat="false" ht="15" hidden="false" customHeight="true" outlineLevel="0" collapsed="false">
      <c r="A52" s="6" t="s">
        <v>68</v>
      </c>
      <c r="B52" s="6" t="s">
        <v>78</v>
      </c>
      <c r="C52" s="6" t="n">
        <v>20</v>
      </c>
      <c r="D52" s="6" t="n">
        <v>11</v>
      </c>
      <c r="E52" s="6" t="n">
        <v>17</v>
      </c>
      <c r="F52" s="6" t="n">
        <v>16</v>
      </c>
      <c r="G52" s="6" t="n">
        <v>3</v>
      </c>
      <c r="H52" s="6" t="n">
        <v>37</v>
      </c>
    </row>
    <row r="53" customFormat="false" ht="15" hidden="false" customHeight="true" outlineLevel="0" collapsed="false">
      <c r="A53" s="6" t="s">
        <v>68</v>
      </c>
      <c r="B53" s="6" t="s">
        <v>79</v>
      </c>
      <c r="C53" s="6" t="n">
        <v>13</v>
      </c>
      <c r="D53" s="6" t="n">
        <v>33</v>
      </c>
      <c r="E53" s="6" t="n">
        <v>37</v>
      </c>
      <c r="F53" s="6" t="n">
        <v>10</v>
      </c>
      <c r="G53" s="6" t="n">
        <v>44</v>
      </c>
      <c r="H53" s="6" t="n">
        <v>19</v>
      </c>
    </row>
    <row r="54" customFormat="false" ht="15" hidden="false" customHeight="true" outlineLevel="0" collapsed="false">
      <c r="A54" s="6" t="s">
        <v>68</v>
      </c>
      <c r="B54" s="6" t="s">
        <v>80</v>
      </c>
      <c r="C54" s="6" t="n">
        <v>22</v>
      </c>
      <c r="D54" s="6" t="n">
        <v>25</v>
      </c>
      <c r="E54" s="6" t="n">
        <v>37</v>
      </c>
      <c r="F54" s="6" t="n">
        <v>15</v>
      </c>
      <c r="G54" s="6" t="n">
        <v>5</v>
      </c>
      <c r="H54" s="6" t="n">
        <v>28</v>
      </c>
    </row>
    <row r="55" customFormat="false" ht="15" hidden="false" customHeight="true" outlineLevel="0" collapsed="false">
      <c r="A55" s="6" t="s">
        <v>68</v>
      </c>
      <c r="B55" s="6" t="s">
        <v>81</v>
      </c>
      <c r="C55" s="6" t="n">
        <v>16</v>
      </c>
      <c r="D55" s="6" t="n">
        <v>19</v>
      </c>
      <c r="E55" s="6" t="n">
        <v>9</v>
      </c>
      <c r="F55" s="6" t="n">
        <v>7</v>
      </c>
      <c r="G55" s="6" t="n">
        <v>5</v>
      </c>
      <c r="H55" s="6" t="n">
        <v>44</v>
      </c>
    </row>
    <row r="56" customFormat="false" ht="15" hidden="false" customHeight="true" outlineLevel="0" collapsed="false">
      <c r="A56" s="6" t="s">
        <v>68</v>
      </c>
      <c r="B56" s="6" t="s">
        <v>82</v>
      </c>
      <c r="C56" s="6" t="n">
        <v>39</v>
      </c>
      <c r="D56" s="6" t="n">
        <v>19</v>
      </c>
      <c r="E56" s="6" t="n">
        <v>26</v>
      </c>
      <c r="F56" s="6" t="n">
        <v>17</v>
      </c>
      <c r="G56" s="6" t="n">
        <v>2</v>
      </c>
      <c r="H56" s="6" t="n">
        <v>44</v>
      </c>
    </row>
    <row r="57" customFormat="false" ht="15" hidden="false" customHeight="true" outlineLevel="0" collapsed="false">
      <c r="A57" s="6" t="s">
        <v>68</v>
      </c>
      <c r="B57" s="6" t="s">
        <v>83</v>
      </c>
      <c r="C57" s="6" t="n">
        <v>27</v>
      </c>
      <c r="D57" s="6" t="n">
        <v>21</v>
      </c>
      <c r="E57" s="6" t="n">
        <v>26</v>
      </c>
      <c r="F57" s="6" t="n">
        <v>37</v>
      </c>
      <c r="G57" s="6" t="n">
        <v>39</v>
      </c>
      <c r="H57" s="6" t="n">
        <v>43</v>
      </c>
    </row>
    <row r="58" customFormat="false" ht="15" hidden="false" customHeight="true" outlineLevel="0" collapsed="false">
      <c r="A58" s="6" t="s">
        <v>68</v>
      </c>
      <c r="B58" s="6" t="s">
        <v>84</v>
      </c>
      <c r="C58" s="6" t="n">
        <v>41</v>
      </c>
      <c r="D58" s="6" t="n">
        <v>12</v>
      </c>
      <c r="E58" s="6" t="n">
        <v>32</v>
      </c>
      <c r="F58" s="6" t="n">
        <v>8</v>
      </c>
      <c r="G58" s="6" t="n">
        <v>30</v>
      </c>
      <c r="H58" s="6" t="n">
        <v>24</v>
      </c>
    </row>
    <row r="59" customFormat="false" ht="15" hidden="false" customHeight="true" outlineLevel="0" collapsed="false">
      <c r="A59" s="6" t="s">
        <v>68</v>
      </c>
      <c r="B59" s="6" t="s">
        <v>85</v>
      </c>
      <c r="C59" s="6" t="n">
        <v>34</v>
      </c>
      <c r="D59" s="6" t="n">
        <v>12</v>
      </c>
      <c r="E59" s="6" t="n">
        <v>29</v>
      </c>
      <c r="F59" s="6" t="n">
        <v>8</v>
      </c>
      <c r="G59" s="6" t="n">
        <v>27</v>
      </c>
      <c r="H59" s="6" t="n">
        <v>17</v>
      </c>
    </row>
    <row r="60" customFormat="false" ht="15" hidden="false" customHeight="true" outlineLevel="0" collapsed="false">
      <c r="A60" s="6" t="s">
        <v>68</v>
      </c>
      <c r="B60" s="6" t="s">
        <v>86</v>
      </c>
      <c r="C60" s="6" t="n">
        <v>10</v>
      </c>
      <c r="D60" s="6" t="n">
        <v>37</v>
      </c>
      <c r="E60" s="6" t="n">
        <v>11</v>
      </c>
      <c r="F60" s="6" t="n">
        <v>43</v>
      </c>
      <c r="G60" s="6" t="n">
        <v>18</v>
      </c>
      <c r="H60" s="6" t="n">
        <v>15</v>
      </c>
    </row>
    <row r="61" customFormat="false" ht="15" hidden="false" customHeight="true" outlineLevel="0" collapsed="false">
      <c r="A61" s="6" t="s">
        <v>68</v>
      </c>
      <c r="B61" s="6" t="s">
        <v>87</v>
      </c>
      <c r="C61" s="6" t="n">
        <v>41</v>
      </c>
      <c r="D61" s="6" t="n">
        <v>15</v>
      </c>
      <c r="E61" s="6" t="n">
        <v>38</v>
      </c>
      <c r="F61" s="6" t="n">
        <v>11</v>
      </c>
      <c r="G61" s="6" t="n">
        <v>33</v>
      </c>
      <c r="H61" s="6" t="n">
        <v>43</v>
      </c>
    </row>
    <row r="62" customFormat="false" ht="15" hidden="false" customHeight="true" outlineLevel="0" collapsed="false">
      <c r="A62" s="6" t="s">
        <v>68</v>
      </c>
      <c r="B62" s="6" t="s">
        <v>88</v>
      </c>
      <c r="C62" s="6" t="n">
        <v>6</v>
      </c>
      <c r="D62" s="6" t="n">
        <v>4</v>
      </c>
      <c r="E62" s="6" t="n">
        <v>5</v>
      </c>
      <c r="F62" s="6" t="n">
        <v>27</v>
      </c>
      <c r="G62" s="6" t="n">
        <v>34</v>
      </c>
      <c r="H62" s="6" t="n">
        <v>11</v>
      </c>
    </row>
    <row r="63" customFormat="false" ht="15" hidden="false" customHeight="true" outlineLevel="0" collapsed="false">
      <c r="A63" s="6" t="s">
        <v>68</v>
      </c>
      <c r="B63" s="6" t="s">
        <v>89</v>
      </c>
      <c r="C63" s="6" t="n">
        <v>27</v>
      </c>
      <c r="D63" s="6" t="n">
        <v>35</v>
      </c>
      <c r="E63" s="6" t="n">
        <v>23</v>
      </c>
      <c r="F63" s="6" t="n">
        <v>22</v>
      </c>
      <c r="G63" s="6" t="n">
        <v>43</v>
      </c>
      <c r="H63" s="6" t="n">
        <v>33</v>
      </c>
    </row>
    <row r="64" customFormat="false" ht="15" hidden="false" customHeight="true" outlineLevel="0" collapsed="false">
      <c r="A64" s="6" t="s">
        <v>68</v>
      </c>
      <c r="B64" s="6" t="s">
        <v>90</v>
      </c>
      <c r="C64" s="6" t="n">
        <v>19</v>
      </c>
      <c r="D64" s="6" t="n">
        <v>8</v>
      </c>
      <c r="E64" s="6" t="n">
        <v>23</v>
      </c>
      <c r="F64" s="6" t="n">
        <v>41</v>
      </c>
      <c r="G64" s="6" t="n">
        <v>4</v>
      </c>
      <c r="H64" s="6" t="n">
        <v>11</v>
      </c>
    </row>
    <row r="65" customFormat="false" ht="15" hidden="false" customHeight="true" outlineLevel="0" collapsed="false">
      <c r="A65" s="6" t="s">
        <v>68</v>
      </c>
      <c r="B65" s="6" t="s">
        <v>91</v>
      </c>
      <c r="C65" s="6" t="n">
        <v>34</v>
      </c>
      <c r="D65" s="6" t="n">
        <v>28</v>
      </c>
      <c r="E65" s="6" t="n">
        <v>21</v>
      </c>
      <c r="F65" s="6" t="n">
        <v>41</v>
      </c>
      <c r="G65" s="6" t="n">
        <v>8</v>
      </c>
      <c r="H65" s="6" t="n">
        <v>5</v>
      </c>
    </row>
    <row r="66" customFormat="false" ht="15" hidden="false" customHeight="true" outlineLevel="0" collapsed="false">
      <c r="A66" s="6" t="s">
        <v>68</v>
      </c>
      <c r="B66" s="6" t="s">
        <v>92</v>
      </c>
      <c r="C66" s="6" t="n">
        <v>1</v>
      </c>
      <c r="D66" s="6" t="n">
        <v>3</v>
      </c>
      <c r="E66" s="6" t="n">
        <v>24</v>
      </c>
      <c r="F66" s="6" t="n">
        <v>18</v>
      </c>
      <c r="G66" s="6" t="n">
        <v>11</v>
      </c>
      <c r="H66" s="6" t="n">
        <v>10</v>
      </c>
    </row>
    <row r="67" customFormat="false" ht="15" hidden="false" customHeight="true" outlineLevel="0" collapsed="false">
      <c r="A67" s="6" t="s">
        <v>68</v>
      </c>
      <c r="B67" s="6" t="s">
        <v>93</v>
      </c>
      <c r="C67" s="6" t="n">
        <v>4</v>
      </c>
      <c r="D67" s="6" t="n">
        <v>32</v>
      </c>
      <c r="E67" s="6" t="n">
        <v>23</v>
      </c>
      <c r="F67" s="6" t="n">
        <v>12</v>
      </c>
      <c r="G67" s="6" t="n">
        <v>22</v>
      </c>
      <c r="H67" s="6" t="n">
        <v>9</v>
      </c>
    </row>
    <row r="68" customFormat="false" ht="15" hidden="false" customHeight="true" outlineLevel="0" collapsed="false">
      <c r="A68" s="6" t="s">
        <v>68</v>
      </c>
      <c r="B68" s="6" t="s">
        <v>94</v>
      </c>
      <c r="C68" s="6" t="n">
        <v>19</v>
      </c>
      <c r="D68" s="6" t="n">
        <v>21</v>
      </c>
      <c r="E68" s="6" t="n">
        <v>39</v>
      </c>
      <c r="F68" s="6" t="n">
        <v>41</v>
      </c>
      <c r="G68" s="6" t="n">
        <v>38</v>
      </c>
      <c r="H68" s="6" t="n">
        <v>44</v>
      </c>
    </row>
    <row r="69" customFormat="false" ht="15" hidden="false" customHeight="true" outlineLevel="0" collapsed="false">
      <c r="A69" s="6" t="s">
        <v>68</v>
      </c>
      <c r="B69" s="6" t="s">
        <v>95</v>
      </c>
      <c r="C69" s="6" t="n">
        <v>31</v>
      </c>
      <c r="D69" s="6" t="n">
        <v>33</v>
      </c>
      <c r="E69" s="6" t="n">
        <v>45</v>
      </c>
      <c r="F69" s="6" t="n">
        <v>29</v>
      </c>
      <c r="G69" s="6" t="n">
        <v>16</v>
      </c>
      <c r="H69" s="6" t="n">
        <v>23</v>
      </c>
    </row>
    <row r="70" customFormat="false" ht="15" hidden="false" customHeight="true" outlineLevel="0" collapsed="false">
      <c r="A70" s="6" t="s">
        <v>68</v>
      </c>
      <c r="B70" s="6" t="s">
        <v>96</v>
      </c>
      <c r="C70" s="6" t="n">
        <v>12</v>
      </c>
      <c r="D70" s="6" t="n">
        <v>27</v>
      </c>
      <c r="E70" s="6" t="n">
        <v>42</v>
      </c>
      <c r="F70" s="6" t="n">
        <v>33</v>
      </c>
      <c r="G70" s="6" t="n">
        <v>15</v>
      </c>
      <c r="H70" s="6" t="n">
        <v>1</v>
      </c>
    </row>
    <row r="71" customFormat="false" ht="15" hidden="false" customHeight="true" outlineLevel="0" collapsed="false">
      <c r="A71" s="6" t="s">
        <v>68</v>
      </c>
      <c r="B71" s="6" t="s">
        <v>97</v>
      </c>
      <c r="C71" s="6" t="n">
        <v>39</v>
      </c>
      <c r="D71" s="6" t="n">
        <v>24</v>
      </c>
      <c r="E71" s="6" t="n">
        <v>7</v>
      </c>
      <c r="F71" s="6" t="n">
        <v>4</v>
      </c>
      <c r="G71" s="6" t="n">
        <v>37</v>
      </c>
      <c r="H71" s="6" t="n">
        <v>23</v>
      </c>
    </row>
    <row r="72" customFormat="false" ht="15" hidden="false" customHeight="true" outlineLevel="0" collapsed="false">
      <c r="A72" s="6" t="s">
        <v>68</v>
      </c>
      <c r="B72" s="6" t="s">
        <v>98</v>
      </c>
      <c r="C72" s="6" t="n">
        <v>16</v>
      </c>
      <c r="D72" s="6" t="n">
        <v>45</v>
      </c>
      <c r="E72" s="6" t="n">
        <v>11</v>
      </c>
      <c r="F72" s="6" t="n">
        <v>32</v>
      </c>
      <c r="G72" s="6" t="n">
        <v>23</v>
      </c>
      <c r="H72" s="6" t="n">
        <v>37</v>
      </c>
    </row>
    <row r="73" customFormat="false" ht="15" hidden="false" customHeight="true" outlineLevel="0" collapsed="false">
      <c r="A73" s="6" t="s">
        <v>68</v>
      </c>
      <c r="B73" s="6" t="s">
        <v>99</v>
      </c>
      <c r="C73" s="6" t="n">
        <v>27</v>
      </c>
      <c r="D73" s="6" t="n">
        <v>9</v>
      </c>
      <c r="E73" s="6" t="n">
        <v>42</v>
      </c>
      <c r="F73" s="6" t="n">
        <v>37</v>
      </c>
      <c r="G73" s="6" t="n">
        <v>34</v>
      </c>
      <c r="H73" s="6" t="n">
        <v>3</v>
      </c>
    </row>
    <row r="74" customFormat="false" ht="15" hidden="false" customHeight="true" outlineLevel="0" collapsed="false">
      <c r="A74" s="6" t="s">
        <v>68</v>
      </c>
      <c r="B74" s="6" t="s">
        <v>100</v>
      </c>
      <c r="C74" s="6" t="n">
        <v>21</v>
      </c>
      <c r="D74" s="6" t="n">
        <v>13</v>
      </c>
      <c r="E74" s="6" t="n">
        <v>43</v>
      </c>
      <c r="F74" s="6" t="n">
        <v>28</v>
      </c>
      <c r="G74" s="6" t="n">
        <v>5</v>
      </c>
      <c r="H74" s="6" t="n">
        <v>17</v>
      </c>
    </row>
    <row r="75" customFormat="false" ht="15" hidden="false" customHeight="true" outlineLevel="0" collapsed="false">
      <c r="A75" s="6" t="s">
        <v>68</v>
      </c>
      <c r="B75" s="6" t="s">
        <v>101</v>
      </c>
      <c r="C75" s="6" t="n">
        <v>23</v>
      </c>
      <c r="D75" s="6" t="n">
        <v>8</v>
      </c>
      <c r="E75" s="6" t="n">
        <v>9</v>
      </c>
      <c r="F75" s="6" t="n">
        <v>36</v>
      </c>
      <c r="G75" s="6" t="n">
        <v>43</v>
      </c>
      <c r="H75" s="6" t="n">
        <v>18</v>
      </c>
    </row>
    <row r="76" customFormat="false" ht="15" hidden="false" customHeight="true" outlineLevel="0" collapsed="false">
      <c r="A76" s="6" t="s">
        <v>68</v>
      </c>
      <c r="B76" s="6" t="s">
        <v>102</v>
      </c>
      <c r="C76" s="6" t="n">
        <v>27</v>
      </c>
      <c r="D76" s="6" t="n">
        <v>45</v>
      </c>
      <c r="E76" s="6" t="n">
        <v>38</v>
      </c>
      <c r="F76" s="6" t="n">
        <v>35</v>
      </c>
      <c r="G76" s="6" t="n">
        <v>25</v>
      </c>
      <c r="H76" s="6" t="n">
        <v>10</v>
      </c>
    </row>
    <row r="77" customFormat="false" ht="15" hidden="false" customHeight="true" outlineLevel="0" collapsed="false">
      <c r="A77" s="6" t="s">
        <v>68</v>
      </c>
      <c r="B77" s="6" t="s">
        <v>103</v>
      </c>
      <c r="C77" s="6" t="n">
        <v>28</v>
      </c>
      <c r="D77" s="6" t="n">
        <v>38</v>
      </c>
      <c r="E77" s="6" t="n">
        <v>41</v>
      </c>
      <c r="F77" s="6" t="n">
        <v>35</v>
      </c>
      <c r="G77" s="6" t="n">
        <v>40</v>
      </c>
      <c r="H77" s="6" t="n">
        <v>5</v>
      </c>
    </row>
    <row r="78" customFormat="false" ht="15" hidden="false" customHeight="true" outlineLevel="0" collapsed="false">
      <c r="A78" s="6" t="s">
        <v>68</v>
      </c>
      <c r="B78" s="6" t="s">
        <v>104</v>
      </c>
      <c r="C78" s="6" t="n">
        <v>23</v>
      </c>
      <c r="D78" s="6" t="n">
        <v>45</v>
      </c>
      <c r="E78" s="6" t="n">
        <v>6</v>
      </c>
      <c r="F78" s="6" t="n">
        <v>18</v>
      </c>
      <c r="G78" s="6" t="n">
        <v>4</v>
      </c>
      <c r="H78" s="6" t="n">
        <v>2</v>
      </c>
    </row>
    <row r="79" customFormat="false" ht="15" hidden="false" customHeight="true" outlineLevel="0" collapsed="false">
      <c r="A79" s="6" t="s">
        <v>68</v>
      </c>
      <c r="B79" s="6" t="s">
        <v>105</v>
      </c>
      <c r="C79" s="6" t="n">
        <v>1</v>
      </c>
      <c r="D79" s="6" t="n">
        <v>38</v>
      </c>
      <c r="E79" s="6" t="n">
        <v>18</v>
      </c>
      <c r="F79" s="6" t="n">
        <v>42</v>
      </c>
      <c r="G79" s="6" t="n">
        <v>4</v>
      </c>
      <c r="H79" s="6" t="n">
        <v>44</v>
      </c>
    </row>
    <row r="80" customFormat="false" ht="15" hidden="false" customHeight="true" outlineLevel="0" collapsed="false">
      <c r="A80" s="6" t="s">
        <v>68</v>
      </c>
      <c r="B80" s="6" t="s">
        <v>106</v>
      </c>
      <c r="C80" s="6" t="n">
        <v>20</v>
      </c>
      <c r="D80" s="6" t="n">
        <v>27</v>
      </c>
      <c r="E80" s="6" t="n">
        <v>43</v>
      </c>
      <c r="F80" s="6" t="n">
        <v>15</v>
      </c>
      <c r="G80" s="6" t="n">
        <v>4</v>
      </c>
      <c r="H80" s="6" t="n">
        <v>14</v>
      </c>
    </row>
    <row r="81" customFormat="false" ht="15" hidden="false" customHeight="true" outlineLevel="0" collapsed="false">
      <c r="A81" s="6" t="s">
        <v>68</v>
      </c>
      <c r="B81" s="6" t="s">
        <v>107</v>
      </c>
      <c r="C81" s="6" t="n">
        <v>14</v>
      </c>
      <c r="D81" s="6" t="n">
        <v>45</v>
      </c>
      <c r="E81" s="6" t="n">
        <v>44</v>
      </c>
      <c r="F81" s="6" t="n">
        <v>42</v>
      </c>
      <c r="G81" s="6" t="n">
        <v>28</v>
      </c>
      <c r="H81" s="6" t="n">
        <v>20</v>
      </c>
    </row>
    <row r="82" customFormat="false" ht="15" hidden="false" customHeight="true" outlineLevel="0" collapsed="false">
      <c r="A82" s="6" t="s">
        <v>68</v>
      </c>
      <c r="B82" s="6" t="s">
        <v>108</v>
      </c>
      <c r="C82" s="6" t="n">
        <v>44</v>
      </c>
      <c r="D82" s="6" t="n">
        <v>13</v>
      </c>
      <c r="E82" s="6" t="n">
        <v>22</v>
      </c>
      <c r="F82" s="6" t="n">
        <v>14</v>
      </c>
      <c r="G82" s="6" t="n">
        <v>4</v>
      </c>
      <c r="H82" s="6" t="n">
        <v>33</v>
      </c>
    </row>
    <row r="83" customFormat="false" ht="15" hidden="false" customHeight="true" outlineLevel="0" collapsed="false">
      <c r="A83" s="6" t="s">
        <v>68</v>
      </c>
      <c r="B83" s="6" t="s">
        <v>109</v>
      </c>
      <c r="C83" s="6" t="n">
        <v>44</v>
      </c>
      <c r="D83" s="6" t="n">
        <v>14</v>
      </c>
      <c r="E83" s="6" t="n">
        <v>10</v>
      </c>
      <c r="F83" s="6" t="n">
        <v>21</v>
      </c>
      <c r="G83" s="6" t="n">
        <v>35</v>
      </c>
      <c r="H83" s="6" t="n">
        <v>18</v>
      </c>
    </row>
    <row r="84" customFormat="false" ht="15" hidden="false" customHeight="true" outlineLevel="0" collapsed="false">
      <c r="A84" s="6" t="s">
        <v>110</v>
      </c>
      <c r="B84" s="6" t="s">
        <v>27</v>
      </c>
      <c r="C84" s="6" t="n">
        <v>42</v>
      </c>
      <c r="D84" s="6" t="n">
        <v>46</v>
      </c>
      <c r="E84" s="6" t="n">
        <v>32</v>
      </c>
      <c r="F84" s="6" t="n">
        <v>19</v>
      </c>
      <c r="G84" s="6" t="n">
        <v>44</v>
      </c>
      <c r="H84" s="6" t="n">
        <v>16</v>
      </c>
    </row>
    <row r="85" customFormat="false" ht="15" hidden="false" customHeight="true" outlineLevel="0" collapsed="false">
      <c r="A85" s="6" t="s">
        <v>110</v>
      </c>
      <c r="B85" s="6" t="s">
        <v>28</v>
      </c>
      <c r="C85" s="6" t="n">
        <v>38</v>
      </c>
      <c r="D85" s="6" t="n">
        <v>34</v>
      </c>
      <c r="E85" s="6" t="n">
        <v>3</v>
      </c>
      <c r="F85" s="6" t="n">
        <v>1</v>
      </c>
      <c r="G85" s="6" t="n">
        <v>10</v>
      </c>
      <c r="H85" s="6" t="n">
        <v>41</v>
      </c>
    </row>
    <row r="86" customFormat="false" ht="15" hidden="false" customHeight="true" outlineLevel="0" collapsed="false">
      <c r="A86" s="6" t="s">
        <v>110</v>
      </c>
      <c r="B86" s="6" t="s">
        <v>111</v>
      </c>
      <c r="C86" s="6" t="n">
        <v>23</v>
      </c>
      <c r="D86" s="6" t="n">
        <v>9</v>
      </c>
      <c r="E86" s="6" t="n">
        <v>25</v>
      </c>
      <c r="F86" s="6" t="n">
        <v>32</v>
      </c>
      <c r="G86" s="6" t="n">
        <v>22</v>
      </c>
      <c r="H86" s="6" t="n">
        <v>24</v>
      </c>
    </row>
    <row r="87" customFormat="false" ht="15" hidden="false" customHeight="true" outlineLevel="0" collapsed="false">
      <c r="A87" s="6" t="s">
        <v>110</v>
      </c>
      <c r="B87" s="6" t="s">
        <v>30</v>
      </c>
      <c r="C87" s="6" t="n">
        <v>33</v>
      </c>
      <c r="D87" s="6" t="n">
        <v>9</v>
      </c>
      <c r="E87" s="6" t="n">
        <v>22</v>
      </c>
      <c r="F87" s="6" t="n">
        <v>37</v>
      </c>
      <c r="G87" s="6" t="n">
        <v>44</v>
      </c>
      <c r="H87" s="6" t="n">
        <v>25</v>
      </c>
    </row>
    <row r="88" customFormat="false" ht="15" hidden="false" customHeight="true" outlineLevel="0" collapsed="false">
      <c r="A88" s="6" t="s">
        <v>110</v>
      </c>
      <c r="B88" s="6" t="s">
        <v>31</v>
      </c>
      <c r="C88" s="6" t="n">
        <v>21</v>
      </c>
      <c r="D88" s="6" t="n">
        <v>20</v>
      </c>
      <c r="E88" s="6" t="n">
        <v>32</v>
      </c>
      <c r="F88" s="6" t="n">
        <v>4</v>
      </c>
      <c r="G88" s="6" t="n">
        <v>43</v>
      </c>
      <c r="H88" s="6" t="n">
        <v>13</v>
      </c>
    </row>
    <row r="89" customFormat="false" ht="15" hidden="false" customHeight="true" outlineLevel="0" collapsed="false">
      <c r="A89" s="6" t="s">
        <v>110</v>
      </c>
      <c r="B89" s="6" t="s">
        <v>112</v>
      </c>
      <c r="C89" s="6" t="n">
        <v>31</v>
      </c>
      <c r="D89" s="6" t="n">
        <v>16</v>
      </c>
      <c r="E89" s="6" t="n">
        <v>45</v>
      </c>
      <c r="F89" s="6" t="n">
        <v>10</v>
      </c>
      <c r="G89" s="6" t="n">
        <v>47</v>
      </c>
      <c r="H89" s="6" t="n">
        <v>32</v>
      </c>
    </row>
    <row r="90" customFormat="false" ht="15" hidden="false" customHeight="true" outlineLevel="0" collapsed="false">
      <c r="A90" s="6" t="s">
        <v>110</v>
      </c>
      <c r="B90" s="6" t="s">
        <v>33</v>
      </c>
      <c r="C90" s="6" t="n">
        <v>31</v>
      </c>
      <c r="D90" s="6" t="n">
        <v>16</v>
      </c>
      <c r="E90" s="6" t="n">
        <v>32</v>
      </c>
      <c r="F90" s="6" t="n">
        <v>19</v>
      </c>
      <c r="G90" s="6" t="n">
        <v>45</v>
      </c>
      <c r="H90" s="6" t="n">
        <v>26</v>
      </c>
    </row>
    <row r="91" customFormat="false" ht="15" hidden="false" customHeight="true" outlineLevel="0" collapsed="false">
      <c r="A91" s="6" t="s">
        <v>110</v>
      </c>
      <c r="B91" s="6" t="s">
        <v>34</v>
      </c>
      <c r="C91" s="6" t="n">
        <v>46</v>
      </c>
      <c r="D91" s="6" t="n">
        <v>4</v>
      </c>
      <c r="E91" s="6" t="n">
        <v>19</v>
      </c>
      <c r="F91" s="6" t="n">
        <v>25</v>
      </c>
      <c r="G91" s="6" t="n">
        <v>33</v>
      </c>
      <c r="H91" s="6" t="n">
        <v>2</v>
      </c>
    </row>
    <row r="92" customFormat="false" ht="15" hidden="false" customHeight="true" outlineLevel="0" collapsed="false">
      <c r="A92" s="6" t="s">
        <v>110</v>
      </c>
      <c r="B92" s="6" t="s">
        <v>113</v>
      </c>
      <c r="C92" s="6" t="n">
        <v>15</v>
      </c>
      <c r="D92" s="6" t="n">
        <v>9</v>
      </c>
      <c r="E92" s="6" t="n">
        <v>33</v>
      </c>
      <c r="F92" s="6" t="n">
        <v>18</v>
      </c>
      <c r="G92" s="6" t="n">
        <v>22</v>
      </c>
      <c r="H92" s="6" t="n">
        <v>6</v>
      </c>
    </row>
    <row r="93" customFormat="false" ht="15" hidden="false" customHeight="true" outlineLevel="0" collapsed="false">
      <c r="A93" s="6" t="s">
        <v>110</v>
      </c>
      <c r="B93" s="6" t="s">
        <v>36</v>
      </c>
      <c r="C93" s="6" t="n">
        <v>22</v>
      </c>
      <c r="D93" s="6" t="n">
        <v>42</v>
      </c>
      <c r="E93" s="6" t="n">
        <v>18</v>
      </c>
      <c r="F93" s="6" t="n">
        <v>28</v>
      </c>
      <c r="G93" s="6" t="n">
        <v>8</v>
      </c>
      <c r="H93" s="6" t="n">
        <v>17</v>
      </c>
    </row>
    <row r="94" customFormat="false" ht="15" hidden="false" customHeight="true" outlineLevel="0" collapsed="false">
      <c r="A94" s="6" t="s">
        <v>110</v>
      </c>
      <c r="B94" s="6" t="s">
        <v>114</v>
      </c>
      <c r="C94" s="6" t="n">
        <v>39</v>
      </c>
      <c r="D94" s="6" t="n">
        <v>30</v>
      </c>
      <c r="E94" s="6" t="n">
        <v>18</v>
      </c>
      <c r="F94" s="6" t="n">
        <v>29</v>
      </c>
      <c r="G94" s="6" t="n">
        <v>44</v>
      </c>
      <c r="H94" s="6" t="n">
        <v>42</v>
      </c>
    </row>
    <row r="95" customFormat="false" ht="15" hidden="false" customHeight="true" outlineLevel="0" collapsed="false">
      <c r="A95" s="6" t="s">
        <v>110</v>
      </c>
      <c r="B95" s="6" t="s">
        <v>37</v>
      </c>
      <c r="C95" s="6" t="n">
        <v>25</v>
      </c>
      <c r="D95" s="6" t="n">
        <v>4</v>
      </c>
      <c r="E95" s="6" t="n">
        <v>46</v>
      </c>
      <c r="F95" s="6" t="n">
        <v>44</v>
      </c>
      <c r="G95" s="6" t="n">
        <v>28</v>
      </c>
      <c r="H95" s="6" t="n">
        <v>36</v>
      </c>
    </row>
    <row r="96" customFormat="false" ht="15" hidden="false" customHeight="true" outlineLevel="0" collapsed="false">
      <c r="A96" s="6" t="s">
        <v>110</v>
      </c>
      <c r="B96" s="6" t="s">
        <v>38</v>
      </c>
      <c r="C96" s="6" t="n">
        <v>10</v>
      </c>
      <c r="D96" s="6" t="n">
        <v>27</v>
      </c>
      <c r="E96" s="6" t="n">
        <v>28</v>
      </c>
      <c r="F96" s="6" t="n">
        <v>2</v>
      </c>
      <c r="G96" s="6" t="n">
        <v>14</v>
      </c>
      <c r="H96" s="6" t="n">
        <v>6</v>
      </c>
    </row>
    <row r="97" customFormat="false" ht="15" hidden="false" customHeight="true" outlineLevel="0" collapsed="false">
      <c r="A97" s="6" t="s">
        <v>110</v>
      </c>
      <c r="B97" s="6" t="s">
        <v>115</v>
      </c>
      <c r="C97" s="6" t="n">
        <v>49</v>
      </c>
      <c r="D97" s="6" t="n">
        <v>29</v>
      </c>
      <c r="E97" s="6" t="n">
        <v>7</v>
      </c>
      <c r="F97" s="6" t="n">
        <v>26</v>
      </c>
      <c r="G97" s="6" t="n">
        <v>43</v>
      </c>
      <c r="H97" s="6" t="n">
        <v>48</v>
      </c>
    </row>
    <row r="98" customFormat="false" ht="15" hidden="false" customHeight="true" outlineLevel="0" collapsed="false">
      <c r="A98" s="6" t="s">
        <v>110</v>
      </c>
      <c r="B98" s="6" t="s">
        <v>40</v>
      </c>
      <c r="C98" s="6" t="n">
        <v>23</v>
      </c>
      <c r="D98" s="6" t="n">
        <v>47</v>
      </c>
      <c r="E98" s="6" t="n">
        <v>11</v>
      </c>
      <c r="F98" s="6" t="n">
        <v>35</v>
      </c>
      <c r="G98" s="6" t="n">
        <v>38</v>
      </c>
      <c r="H98" s="6" t="n">
        <v>20</v>
      </c>
    </row>
    <row r="99" customFormat="false" ht="15" hidden="false" customHeight="true" outlineLevel="0" collapsed="false">
      <c r="A99" s="6" t="s">
        <v>110</v>
      </c>
      <c r="B99" s="6" t="s">
        <v>41</v>
      </c>
      <c r="C99" s="6" t="n">
        <v>27</v>
      </c>
      <c r="D99" s="6" t="n">
        <v>35</v>
      </c>
      <c r="E99" s="6" t="n">
        <v>24</v>
      </c>
      <c r="F99" s="6" t="n">
        <v>31</v>
      </c>
      <c r="G99" s="6" t="n">
        <v>9</v>
      </c>
      <c r="H99" s="6" t="n">
        <v>34</v>
      </c>
    </row>
    <row r="100" customFormat="false" ht="15" hidden="false" customHeight="true" outlineLevel="0" collapsed="false">
      <c r="A100" s="6" t="s">
        <v>110</v>
      </c>
      <c r="B100" s="6" t="s">
        <v>116</v>
      </c>
      <c r="C100" s="6" t="n">
        <v>16</v>
      </c>
      <c r="D100" s="6" t="n">
        <v>43</v>
      </c>
      <c r="E100" s="6" t="n">
        <v>21</v>
      </c>
      <c r="F100" s="6" t="n">
        <v>35</v>
      </c>
      <c r="G100" s="6" t="n">
        <v>14</v>
      </c>
      <c r="H100" s="6" t="n">
        <v>37</v>
      </c>
    </row>
    <row r="101" customFormat="false" ht="15" hidden="false" customHeight="true" outlineLevel="0" collapsed="false">
      <c r="A101" s="6" t="s">
        <v>110</v>
      </c>
      <c r="B101" s="6" t="s">
        <v>43</v>
      </c>
      <c r="C101" s="6" t="n">
        <v>45</v>
      </c>
      <c r="D101" s="6" t="n">
        <v>10</v>
      </c>
      <c r="E101" s="6" t="n">
        <v>36</v>
      </c>
      <c r="F101" s="6" t="n">
        <v>43</v>
      </c>
      <c r="G101" s="6" t="n">
        <v>13</v>
      </c>
      <c r="H101" s="6" t="n">
        <v>19</v>
      </c>
    </row>
    <row r="102" customFormat="false" ht="15" hidden="false" customHeight="true" outlineLevel="0" collapsed="false">
      <c r="A102" s="6" t="s">
        <v>110</v>
      </c>
      <c r="B102" s="6" t="s">
        <v>44</v>
      </c>
      <c r="C102" s="6" t="n">
        <v>11</v>
      </c>
      <c r="D102" s="6" t="n">
        <v>35</v>
      </c>
      <c r="E102" s="6" t="n">
        <v>40</v>
      </c>
      <c r="F102" s="6" t="n">
        <v>1</v>
      </c>
      <c r="G102" s="6" t="n">
        <v>18</v>
      </c>
      <c r="H102" s="6" t="n">
        <v>8</v>
      </c>
    </row>
    <row r="103" customFormat="false" ht="15" hidden="false" customHeight="true" outlineLevel="0" collapsed="false">
      <c r="A103" s="6" t="s">
        <v>110</v>
      </c>
      <c r="B103" s="6" t="s">
        <v>117</v>
      </c>
      <c r="C103" s="6" t="n">
        <v>44</v>
      </c>
      <c r="D103" s="6" t="n">
        <v>48</v>
      </c>
      <c r="E103" s="6" t="n">
        <v>9</v>
      </c>
      <c r="F103" s="6" t="n">
        <v>33</v>
      </c>
      <c r="G103" s="6" t="n">
        <v>1</v>
      </c>
      <c r="H103" s="6" t="n">
        <v>34</v>
      </c>
    </row>
    <row r="104" customFormat="false" ht="15" hidden="false" customHeight="true" outlineLevel="0" collapsed="false">
      <c r="A104" s="6" t="s">
        <v>110</v>
      </c>
      <c r="B104" s="6" t="s">
        <v>46</v>
      </c>
      <c r="C104" s="6" t="n">
        <v>27</v>
      </c>
      <c r="D104" s="6" t="n">
        <v>9</v>
      </c>
      <c r="E104" s="6" t="n">
        <v>34</v>
      </c>
      <c r="F104" s="6" t="n">
        <v>5</v>
      </c>
      <c r="G104" s="6" t="n">
        <v>16</v>
      </c>
      <c r="H104" s="6" t="n">
        <v>42</v>
      </c>
    </row>
    <row r="105" customFormat="false" ht="15" hidden="false" customHeight="true" outlineLevel="0" collapsed="false">
      <c r="A105" s="6" t="s">
        <v>110</v>
      </c>
      <c r="B105" s="6" t="s">
        <v>47</v>
      </c>
      <c r="C105" s="6" t="n">
        <v>40</v>
      </c>
      <c r="D105" s="6" t="n">
        <v>41</v>
      </c>
      <c r="E105" s="6" t="n">
        <v>24</v>
      </c>
      <c r="F105" s="6" t="n">
        <v>23</v>
      </c>
      <c r="G105" s="6" t="n">
        <v>46</v>
      </c>
      <c r="H105" s="6" t="n">
        <v>42</v>
      </c>
    </row>
    <row r="106" customFormat="false" ht="15" hidden="false" customHeight="true" outlineLevel="0" collapsed="false">
      <c r="A106" s="6" t="s">
        <v>110</v>
      </c>
      <c r="B106" s="6" t="s">
        <v>118</v>
      </c>
      <c r="C106" s="6" t="n">
        <v>37</v>
      </c>
      <c r="D106" s="6" t="n">
        <v>35</v>
      </c>
      <c r="E106" s="6" t="n">
        <v>44</v>
      </c>
      <c r="F106" s="6" t="n">
        <v>47</v>
      </c>
      <c r="G106" s="6" t="n">
        <v>43</v>
      </c>
      <c r="H106" s="6" t="n">
        <v>14</v>
      </c>
    </row>
    <row r="107" customFormat="false" ht="15" hidden="false" customHeight="true" outlineLevel="0" collapsed="false">
      <c r="A107" s="6" t="s">
        <v>110</v>
      </c>
      <c r="B107" s="6" t="s">
        <v>49</v>
      </c>
      <c r="C107" s="6" t="n">
        <v>44</v>
      </c>
      <c r="D107" s="6" t="n">
        <v>3</v>
      </c>
      <c r="E107" s="6" t="n">
        <v>8</v>
      </c>
      <c r="F107" s="6" t="n">
        <v>31</v>
      </c>
      <c r="G107" s="6" t="n">
        <v>6</v>
      </c>
      <c r="H107" s="6" t="n">
        <v>49</v>
      </c>
    </row>
    <row r="108" customFormat="false" ht="15" hidden="false" customHeight="true" outlineLevel="0" collapsed="false">
      <c r="A108" s="6" t="s">
        <v>110</v>
      </c>
      <c r="B108" s="6" t="s">
        <v>50</v>
      </c>
      <c r="C108" s="6" t="n">
        <v>47</v>
      </c>
      <c r="D108" s="6" t="n">
        <v>11</v>
      </c>
      <c r="E108" s="6" t="n">
        <v>24</v>
      </c>
      <c r="F108" s="6" t="n">
        <v>33</v>
      </c>
      <c r="G108" s="6" t="n">
        <v>48</v>
      </c>
      <c r="H108" s="6" t="n">
        <v>2</v>
      </c>
    </row>
    <row r="109" customFormat="false" ht="15" hidden="false" customHeight="true" outlineLevel="0" collapsed="false">
      <c r="A109" s="6" t="s">
        <v>110</v>
      </c>
      <c r="B109" s="6" t="s">
        <v>119</v>
      </c>
      <c r="C109" s="6" t="n">
        <v>3</v>
      </c>
      <c r="D109" s="6" t="n">
        <v>16</v>
      </c>
      <c r="E109" s="6" t="n">
        <v>11</v>
      </c>
      <c r="F109" s="6" t="n">
        <v>4</v>
      </c>
      <c r="G109" s="6" t="n">
        <v>14</v>
      </c>
      <c r="H109" s="6" t="n">
        <v>38</v>
      </c>
    </row>
    <row r="110" customFormat="false" ht="15" hidden="false" customHeight="true" outlineLevel="0" collapsed="false">
      <c r="A110" s="6" t="s">
        <v>110</v>
      </c>
      <c r="B110" s="6" t="s">
        <v>52</v>
      </c>
      <c r="C110" s="6" t="n">
        <v>24</v>
      </c>
      <c r="D110" s="6" t="n">
        <v>15</v>
      </c>
      <c r="E110" s="6" t="n">
        <v>6</v>
      </c>
      <c r="F110" s="6" t="n">
        <v>44</v>
      </c>
      <c r="G110" s="6" t="n">
        <v>40</v>
      </c>
      <c r="H110" s="6" t="n">
        <v>23</v>
      </c>
    </row>
    <row r="111" customFormat="false" ht="15" hidden="false" customHeight="true" outlineLevel="0" collapsed="false">
      <c r="A111" s="6" t="s">
        <v>110</v>
      </c>
      <c r="B111" s="6" t="s">
        <v>53</v>
      </c>
      <c r="C111" s="6" t="n">
        <v>4</v>
      </c>
      <c r="D111" s="6" t="n">
        <v>25</v>
      </c>
      <c r="E111" s="6" t="n">
        <v>24</v>
      </c>
      <c r="F111" s="6" t="n">
        <v>12</v>
      </c>
      <c r="G111" s="6" t="n">
        <v>19</v>
      </c>
      <c r="H111" s="6" t="n">
        <v>43</v>
      </c>
    </row>
    <row r="112" customFormat="false" ht="15" hidden="false" customHeight="true" outlineLevel="0" collapsed="false">
      <c r="A112" s="6" t="s">
        <v>110</v>
      </c>
      <c r="B112" s="6" t="s">
        <v>120</v>
      </c>
      <c r="C112" s="6" t="n">
        <v>27</v>
      </c>
      <c r="D112" s="6" t="n">
        <v>14</v>
      </c>
      <c r="E112" s="6" t="n">
        <v>46</v>
      </c>
      <c r="F112" s="6" t="n">
        <v>18</v>
      </c>
      <c r="G112" s="6" t="n">
        <v>11</v>
      </c>
      <c r="H112" s="6" t="n">
        <v>17</v>
      </c>
    </row>
    <row r="113" customFormat="false" ht="15" hidden="false" customHeight="true" outlineLevel="0" collapsed="false">
      <c r="A113" s="6" t="s">
        <v>110</v>
      </c>
      <c r="B113" s="6" t="s">
        <v>55</v>
      </c>
      <c r="C113" s="6" t="n">
        <v>49</v>
      </c>
      <c r="D113" s="6" t="n">
        <v>35</v>
      </c>
      <c r="E113" s="6" t="n">
        <v>44</v>
      </c>
      <c r="F113" s="6" t="n">
        <v>4</v>
      </c>
      <c r="G113" s="6" t="n">
        <v>14</v>
      </c>
      <c r="H113" s="6" t="n">
        <v>5</v>
      </c>
    </row>
    <row r="114" customFormat="false" ht="15" hidden="false" customHeight="true" outlineLevel="0" collapsed="false">
      <c r="A114" s="6" t="s">
        <v>110</v>
      </c>
      <c r="B114" s="6" t="s">
        <v>56</v>
      </c>
      <c r="C114" s="6" t="n">
        <v>9</v>
      </c>
      <c r="D114" s="6" t="n">
        <v>28</v>
      </c>
      <c r="E114" s="6" t="n">
        <v>21</v>
      </c>
      <c r="F114" s="6" t="n">
        <v>2</v>
      </c>
      <c r="G114" s="6" t="n">
        <v>37</v>
      </c>
      <c r="H114" s="6" t="n">
        <v>23</v>
      </c>
    </row>
    <row r="115" customFormat="false" ht="15" hidden="false" customHeight="true" outlineLevel="0" collapsed="false">
      <c r="A115" s="6" t="s">
        <v>110</v>
      </c>
      <c r="B115" s="6" t="s">
        <v>121</v>
      </c>
      <c r="C115" s="6" t="n">
        <v>33</v>
      </c>
      <c r="D115" s="6" t="n">
        <v>24</v>
      </c>
      <c r="E115" s="6" t="n">
        <v>12</v>
      </c>
      <c r="F115" s="6" t="n">
        <v>13</v>
      </c>
      <c r="G115" s="6" t="n">
        <v>4</v>
      </c>
      <c r="H115" s="6" t="n">
        <v>9</v>
      </c>
    </row>
    <row r="116" customFormat="false" ht="15" hidden="false" customHeight="true" outlineLevel="0" collapsed="false">
      <c r="A116" s="6" t="s">
        <v>110</v>
      </c>
      <c r="B116" s="6" t="s">
        <v>58</v>
      </c>
      <c r="C116" s="6" t="n">
        <v>10</v>
      </c>
      <c r="D116" s="6" t="n">
        <v>49</v>
      </c>
      <c r="E116" s="6" t="n">
        <v>30</v>
      </c>
      <c r="F116" s="6" t="n">
        <v>21</v>
      </c>
      <c r="G116" s="6" t="n">
        <v>48</v>
      </c>
      <c r="H116" s="6" t="n">
        <v>45</v>
      </c>
    </row>
    <row r="117" customFormat="false" ht="15" hidden="false" customHeight="true" outlineLevel="0" collapsed="false">
      <c r="A117" s="6" t="s">
        <v>110</v>
      </c>
      <c r="B117" s="6" t="s">
        <v>59</v>
      </c>
      <c r="C117" s="6" t="n">
        <v>39</v>
      </c>
      <c r="D117" s="6" t="n">
        <v>40</v>
      </c>
      <c r="E117" s="6" t="n">
        <v>1</v>
      </c>
      <c r="F117" s="6" t="n">
        <v>47</v>
      </c>
      <c r="G117" s="6" t="n">
        <v>29</v>
      </c>
      <c r="H117" s="6" t="n">
        <v>17</v>
      </c>
    </row>
    <row r="118" customFormat="false" ht="15" hidden="false" customHeight="true" outlineLevel="0" collapsed="false">
      <c r="A118" s="6" t="s">
        <v>110</v>
      </c>
      <c r="B118" s="6" t="s">
        <v>122</v>
      </c>
      <c r="C118" s="6" t="n">
        <v>18</v>
      </c>
      <c r="D118" s="6" t="n">
        <v>21</v>
      </c>
      <c r="E118" s="6" t="n">
        <v>7</v>
      </c>
      <c r="F118" s="6" t="n">
        <v>43</v>
      </c>
      <c r="G118" s="6" t="n">
        <v>11</v>
      </c>
      <c r="H118" s="6" t="n">
        <v>3</v>
      </c>
    </row>
    <row r="119" customFormat="false" ht="15" hidden="false" customHeight="true" outlineLevel="0" collapsed="false">
      <c r="A119" s="6" t="s">
        <v>110</v>
      </c>
      <c r="B119" s="6" t="s">
        <v>61</v>
      </c>
      <c r="C119" s="6" t="n">
        <v>36</v>
      </c>
      <c r="D119" s="6" t="n">
        <v>27</v>
      </c>
      <c r="E119" s="6" t="n">
        <v>5</v>
      </c>
      <c r="F119" s="6" t="n">
        <v>14</v>
      </c>
      <c r="G119" s="6" t="n">
        <v>40</v>
      </c>
      <c r="H119" s="6" t="n">
        <v>8</v>
      </c>
    </row>
    <row r="120" customFormat="false" ht="15" hidden="false" customHeight="true" outlineLevel="0" collapsed="false">
      <c r="A120" s="6" t="s">
        <v>110</v>
      </c>
      <c r="B120" s="6" t="s">
        <v>62</v>
      </c>
      <c r="C120" s="6" t="n">
        <v>27</v>
      </c>
      <c r="D120" s="6" t="n">
        <v>3</v>
      </c>
      <c r="E120" s="6" t="n">
        <v>2</v>
      </c>
      <c r="F120" s="6" t="n">
        <v>11</v>
      </c>
      <c r="G120" s="6" t="n">
        <v>16</v>
      </c>
      <c r="H120" s="6" t="n">
        <v>25</v>
      </c>
    </row>
    <row r="121" customFormat="false" ht="15" hidden="false" customHeight="true" outlineLevel="0" collapsed="false">
      <c r="A121" s="6" t="s">
        <v>110</v>
      </c>
      <c r="B121" s="6" t="s">
        <v>123</v>
      </c>
      <c r="C121" s="6" t="n">
        <v>41</v>
      </c>
      <c r="D121" s="6" t="n">
        <v>31</v>
      </c>
      <c r="E121" s="6" t="n">
        <v>44</v>
      </c>
      <c r="F121" s="6" t="n">
        <v>25</v>
      </c>
      <c r="G121" s="6" t="n">
        <v>42</v>
      </c>
      <c r="H121" s="6" t="n">
        <v>33</v>
      </c>
    </row>
    <row r="122" customFormat="false" ht="15" hidden="false" customHeight="true" outlineLevel="0" collapsed="false">
      <c r="A122" s="6" t="s">
        <v>110</v>
      </c>
      <c r="B122" s="6" t="s">
        <v>64</v>
      </c>
      <c r="C122" s="6" t="n">
        <v>43</v>
      </c>
      <c r="D122" s="6" t="n">
        <v>22</v>
      </c>
      <c r="E122" s="6" t="n">
        <v>15</v>
      </c>
      <c r="F122" s="6" t="n">
        <v>4</v>
      </c>
      <c r="G122" s="6" t="n">
        <v>3</v>
      </c>
      <c r="H122" s="6" t="n">
        <v>17</v>
      </c>
    </row>
    <row r="123" customFormat="false" ht="15" hidden="false" customHeight="true" outlineLevel="0" collapsed="false">
      <c r="A123" s="6" t="s">
        <v>110</v>
      </c>
      <c r="B123" s="6" t="s">
        <v>65</v>
      </c>
      <c r="C123" s="6" t="n">
        <v>40</v>
      </c>
      <c r="D123" s="6" t="n">
        <v>13</v>
      </c>
      <c r="E123" s="6" t="n">
        <v>14</v>
      </c>
      <c r="F123" s="6" t="n">
        <v>24</v>
      </c>
      <c r="G123" s="6" t="n">
        <v>8</v>
      </c>
      <c r="H123" s="6" t="n">
        <v>21</v>
      </c>
    </row>
    <row r="124" customFormat="false" ht="15" hidden="false" customHeight="true" outlineLevel="0" collapsed="false">
      <c r="A124" s="6" t="s">
        <v>110</v>
      </c>
      <c r="B124" s="6" t="s">
        <v>124</v>
      </c>
      <c r="C124" s="6" t="n">
        <v>16</v>
      </c>
      <c r="D124" s="6" t="n">
        <v>7</v>
      </c>
      <c r="E124" s="6" t="n">
        <v>47</v>
      </c>
      <c r="F124" s="6" t="n">
        <v>8</v>
      </c>
      <c r="G124" s="6" t="n">
        <v>4</v>
      </c>
      <c r="H124" s="6" t="n">
        <v>6</v>
      </c>
    </row>
    <row r="125" customFormat="false" ht="15" hidden="false" customHeight="true" outlineLevel="0" collapsed="false">
      <c r="A125" s="6" t="s">
        <v>110</v>
      </c>
      <c r="B125" s="6" t="s">
        <v>67</v>
      </c>
      <c r="C125" s="6" t="n">
        <v>28</v>
      </c>
      <c r="D125" s="6" t="n">
        <v>20</v>
      </c>
      <c r="E125" s="6" t="n">
        <v>36</v>
      </c>
      <c r="F125" s="6" t="n">
        <v>33</v>
      </c>
      <c r="G125" s="6" t="n">
        <v>2</v>
      </c>
      <c r="H125" s="6" t="n">
        <v>17</v>
      </c>
    </row>
    <row r="126" customFormat="false" ht="15" hidden="false" customHeight="true" outlineLevel="0" collapsed="false">
      <c r="A126" s="6" t="s">
        <v>125</v>
      </c>
      <c r="B126" s="6" t="s">
        <v>69</v>
      </c>
      <c r="C126" s="6" t="n">
        <v>50</v>
      </c>
      <c r="D126" s="6" t="n">
        <v>24</v>
      </c>
      <c r="E126" s="6" t="n">
        <v>34</v>
      </c>
      <c r="F126" s="6" t="n">
        <v>21</v>
      </c>
      <c r="G126" s="6" t="n">
        <v>45</v>
      </c>
      <c r="H126" s="6" t="n">
        <v>3</v>
      </c>
    </row>
    <row r="127" customFormat="false" ht="15" hidden="false" customHeight="true" outlineLevel="0" collapsed="false">
      <c r="A127" s="6" t="s">
        <v>125</v>
      </c>
      <c r="B127" s="6" t="s">
        <v>29</v>
      </c>
      <c r="C127" s="6" t="n">
        <v>24</v>
      </c>
      <c r="D127" s="6" t="n">
        <v>33</v>
      </c>
      <c r="E127" s="6" t="n">
        <v>48</v>
      </c>
      <c r="F127" s="6" t="n">
        <v>42</v>
      </c>
      <c r="G127" s="6" t="n">
        <v>5</v>
      </c>
      <c r="H127" s="6" t="n">
        <v>22</v>
      </c>
    </row>
    <row r="128" customFormat="false" ht="15" hidden="false" customHeight="true" outlineLevel="0" collapsed="false">
      <c r="A128" s="6" t="s">
        <v>125</v>
      </c>
      <c r="B128" s="6" t="s">
        <v>71</v>
      </c>
      <c r="C128" s="6" t="n">
        <v>42</v>
      </c>
      <c r="D128" s="6" t="n">
        <v>27</v>
      </c>
      <c r="E128" s="6" t="n">
        <v>16</v>
      </c>
      <c r="F128" s="6" t="n">
        <v>54</v>
      </c>
      <c r="G128" s="6" t="n">
        <v>50</v>
      </c>
      <c r="H128" s="6" t="n">
        <v>20</v>
      </c>
    </row>
    <row r="129" customFormat="false" ht="15" hidden="false" customHeight="true" outlineLevel="0" collapsed="false">
      <c r="A129" s="6" t="s">
        <v>125</v>
      </c>
      <c r="B129" s="6" t="s">
        <v>72</v>
      </c>
      <c r="C129" s="6" t="n">
        <v>5</v>
      </c>
      <c r="D129" s="6" t="n">
        <v>6</v>
      </c>
      <c r="E129" s="6" t="n">
        <v>15</v>
      </c>
      <c r="F129" s="6" t="n">
        <v>53</v>
      </c>
      <c r="G129" s="6" t="n">
        <v>17</v>
      </c>
      <c r="H129" s="6" t="n">
        <v>55</v>
      </c>
    </row>
    <row r="130" customFormat="false" ht="15" hidden="false" customHeight="true" outlineLevel="0" collapsed="false">
      <c r="A130" s="6" t="s">
        <v>125</v>
      </c>
      <c r="B130" s="6" t="s">
        <v>32</v>
      </c>
      <c r="C130" s="6" t="n">
        <v>2</v>
      </c>
      <c r="D130" s="6" t="n">
        <v>18</v>
      </c>
      <c r="E130" s="6" t="n">
        <v>47</v>
      </c>
      <c r="F130" s="6" t="n">
        <v>12</v>
      </c>
      <c r="G130" s="6" t="n">
        <v>32</v>
      </c>
      <c r="H130" s="6" t="n">
        <v>11</v>
      </c>
    </row>
    <row r="131" customFormat="false" ht="15" hidden="false" customHeight="true" outlineLevel="0" collapsed="false">
      <c r="A131" s="6" t="s">
        <v>125</v>
      </c>
      <c r="B131" s="6" t="s">
        <v>74</v>
      </c>
      <c r="C131" s="6" t="n">
        <v>43</v>
      </c>
      <c r="D131" s="6" t="n">
        <v>33</v>
      </c>
      <c r="E131" s="6" t="n">
        <v>10</v>
      </c>
      <c r="F131" s="6" t="n">
        <v>26</v>
      </c>
      <c r="G131" s="6" t="n">
        <v>42</v>
      </c>
      <c r="H131" s="6" t="n">
        <v>14</v>
      </c>
    </row>
    <row r="132" customFormat="false" ht="15" hidden="false" customHeight="true" outlineLevel="0" collapsed="false">
      <c r="A132" s="6" t="s">
        <v>125</v>
      </c>
      <c r="B132" s="6" t="s">
        <v>75</v>
      </c>
      <c r="C132" s="6" t="n">
        <v>29</v>
      </c>
      <c r="D132" s="6" t="n">
        <v>25</v>
      </c>
      <c r="E132" s="6" t="n">
        <v>44</v>
      </c>
      <c r="F132" s="6" t="n">
        <v>39</v>
      </c>
      <c r="G132" s="6" t="n">
        <v>13</v>
      </c>
      <c r="H132" s="6" t="n">
        <v>5</v>
      </c>
    </row>
    <row r="133" customFormat="false" ht="15" hidden="false" customHeight="true" outlineLevel="0" collapsed="false">
      <c r="A133" s="6" t="s">
        <v>125</v>
      </c>
      <c r="B133" s="6" t="s">
        <v>35</v>
      </c>
      <c r="C133" s="6" t="n">
        <v>1</v>
      </c>
      <c r="D133" s="6" t="n">
        <v>18</v>
      </c>
      <c r="E133" s="6" t="n">
        <v>51</v>
      </c>
      <c r="F133" s="6" t="n">
        <v>19</v>
      </c>
      <c r="G133" s="6" t="n">
        <v>21</v>
      </c>
      <c r="H133" s="6" t="n">
        <v>5</v>
      </c>
    </row>
    <row r="134" customFormat="false" ht="15" hidden="false" customHeight="true" outlineLevel="0" collapsed="false">
      <c r="A134" s="6" t="s">
        <v>125</v>
      </c>
      <c r="B134" s="6" t="s">
        <v>77</v>
      </c>
      <c r="C134" s="6" t="n">
        <v>27</v>
      </c>
      <c r="D134" s="6" t="n">
        <v>34</v>
      </c>
      <c r="E134" s="6" t="n">
        <v>31</v>
      </c>
      <c r="F134" s="6" t="n">
        <v>54</v>
      </c>
      <c r="G134" s="6" t="n">
        <v>23</v>
      </c>
      <c r="H134" s="6" t="n">
        <v>3</v>
      </c>
    </row>
    <row r="135" customFormat="false" ht="15" hidden="false" customHeight="true" outlineLevel="0" collapsed="false">
      <c r="A135" s="6" t="s">
        <v>125</v>
      </c>
      <c r="B135" s="6" t="s">
        <v>78</v>
      </c>
      <c r="C135" s="6" t="n">
        <v>32</v>
      </c>
      <c r="D135" s="6" t="n">
        <v>42</v>
      </c>
      <c r="E135" s="6" t="n">
        <v>17</v>
      </c>
      <c r="F135" s="6" t="n">
        <v>55</v>
      </c>
      <c r="G135" s="6" t="n">
        <v>50</v>
      </c>
      <c r="H135" s="6" t="n">
        <v>19</v>
      </c>
    </row>
    <row r="136" customFormat="false" ht="15" hidden="false" customHeight="true" outlineLevel="0" collapsed="false">
      <c r="A136" s="6" t="s">
        <v>125</v>
      </c>
      <c r="B136" s="6" t="s">
        <v>79</v>
      </c>
      <c r="C136" s="6" t="n">
        <v>54</v>
      </c>
      <c r="D136" s="6" t="n">
        <v>28</v>
      </c>
      <c r="E136" s="6" t="n">
        <v>47</v>
      </c>
      <c r="F136" s="6" t="n">
        <v>36</v>
      </c>
      <c r="G136" s="6" t="n">
        <v>35</v>
      </c>
      <c r="H136" s="6" t="n">
        <v>29</v>
      </c>
    </row>
    <row r="137" customFormat="false" ht="15" hidden="false" customHeight="true" outlineLevel="0" collapsed="false">
      <c r="A137" s="6" t="s">
        <v>125</v>
      </c>
      <c r="B137" s="6" t="s">
        <v>80</v>
      </c>
      <c r="C137" s="6" t="n">
        <v>23</v>
      </c>
      <c r="D137" s="6" t="n">
        <v>24</v>
      </c>
      <c r="E137" s="6" t="n">
        <v>9</v>
      </c>
      <c r="F137" s="6" t="n">
        <v>40</v>
      </c>
      <c r="G137" s="6" t="n">
        <v>13</v>
      </c>
      <c r="H137" s="6" t="n">
        <v>17</v>
      </c>
    </row>
    <row r="138" customFormat="false" ht="15" hidden="false" customHeight="true" outlineLevel="0" collapsed="false">
      <c r="A138" s="6" t="s">
        <v>125</v>
      </c>
      <c r="B138" s="6" t="s">
        <v>39</v>
      </c>
      <c r="C138" s="6" t="n">
        <v>52</v>
      </c>
      <c r="D138" s="6" t="n">
        <v>10</v>
      </c>
      <c r="E138" s="6" t="n">
        <v>50</v>
      </c>
      <c r="F138" s="6" t="n">
        <v>53</v>
      </c>
      <c r="G138" s="6" t="n">
        <v>26</v>
      </c>
      <c r="H138" s="6" t="n">
        <v>28</v>
      </c>
    </row>
    <row r="139" customFormat="false" ht="15" hidden="false" customHeight="true" outlineLevel="0" collapsed="false">
      <c r="A139" s="6" t="s">
        <v>125</v>
      </c>
      <c r="B139" s="6" t="s">
        <v>82</v>
      </c>
      <c r="C139" s="6" t="n">
        <v>51</v>
      </c>
      <c r="D139" s="6" t="n">
        <v>54</v>
      </c>
      <c r="E139" s="6" t="n">
        <v>39</v>
      </c>
      <c r="F139" s="6" t="n">
        <v>50</v>
      </c>
      <c r="G139" s="6" t="n">
        <v>24</v>
      </c>
      <c r="H139" s="6" t="n">
        <v>40</v>
      </c>
    </row>
    <row r="140" customFormat="false" ht="15" hidden="false" customHeight="true" outlineLevel="0" collapsed="false">
      <c r="A140" s="6" t="s">
        <v>125</v>
      </c>
      <c r="B140" s="6" t="s">
        <v>83</v>
      </c>
      <c r="C140" s="6" t="n">
        <v>32</v>
      </c>
      <c r="D140" s="6" t="n">
        <v>43</v>
      </c>
      <c r="E140" s="6" t="n">
        <v>20</v>
      </c>
      <c r="F140" s="6" t="n">
        <v>46</v>
      </c>
      <c r="G140" s="6" t="n">
        <v>9</v>
      </c>
      <c r="H140" s="6" t="n">
        <v>15</v>
      </c>
    </row>
    <row r="141" customFormat="false" ht="15" hidden="false" customHeight="true" outlineLevel="0" collapsed="false">
      <c r="A141" s="6" t="s">
        <v>125</v>
      </c>
      <c r="B141" s="6" t="s">
        <v>42</v>
      </c>
      <c r="C141" s="6" t="n">
        <v>4</v>
      </c>
      <c r="D141" s="6" t="n">
        <v>25</v>
      </c>
      <c r="E141" s="6" t="n">
        <v>9</v>
      </c>
      <c r="F141" s="6" t="n">
        <v>54</v>
      </c>
      <c r="G141" s="6" t="n">
        <v>15</v>
      </c>
      <c r="H141" s="6" t="n">
        <v>31</v>
      </c>
    </row>
    <row r="142" customFormat="false" ht="15" hidden="false" customHeight="true" outlineLevel="0" collapsed="false">
      <c r="A142" s="6" t="s">
        <v>125</v>
      </c>
      <c r="B142" s="6" t="s">
        <v>85</v>
      </c>
      <c r="C142" s="6" t="n">
        <v>33</v>
      </c>
      <c r="D142" s="6" t="n">
        <v>36</v>
      </c>
      <c r="E142" s="6" t="n">
        <v>17</v>
      </c>
      <c r="F142" s="6" t="n">
        <v>40</v>
      </c>
      <c r="G142" s="6" t="n">
        <v>22</v>
      </c>
      <c r="H142" s="6" t="n">
        <v>45</v>
      </c>
    </row>
    <row r="143" customFormat="false" ht="15" hidden="false" customHeight="true" outlineLevel="0" collapsed="false">
      <c r="A143" s="6" t="s">
        <v>125</v>
      </c>
      <c r="B143" s="6" t="s">
        <v>86</v>
      </c>
      <c r="C143" s="6" t="n">
        <v>30</v>
      </c>
      <c r="D143" s="6" t="n">
        <v>43</v>
      </c>
      <c r="E143" s="6" t="n">
        <v>51</v>
      </c>
      <c r="F143" s="6" t="n">
        <v>44</v>
      </c>
      <c r="G143" s="6" t="n">
        <v>46</v>
      </c>
      <c r="H143" s="6" t="n">
        <v>32</v>
      </c>
    </row>
    <row r="144" customFormat="false" ht="15" hidden="false" customHeight="true" outlineLevel="0" collapsed="false">
      <c r="A144" s="6" t="s">
        <v>125</v>
      </c>
      <c r="B144" s="6" t="s">
        <v>45</v>
      </c>
      <c r="C144" s="6" t="n">
        <v>41</v>
      </c>
      <c r="D144" s="6" t="n">
        <v>43</v>
      </c>
      <c r="E144" s="6" t="n">
        <v>35</v>
      </c>
      <c r="F144" s="6" t="n">
        <v>15</v>
      </c>
      <c r="G144" s="6" t="n">
        <v>10</v>
      </c>
      <c r="H144" s="6" t="n">
        <v>40</v>
      </c>
    </row>
    <row r="145" customFormat="false" ht="15" hidden="false" customHeight="true" outlineLevel="0" collapsed="false">
      <c r="A145" s="6" t="s">
        <v>125</v>
      </c>
      <c r="B145" s="6" t="s">
        <v>88</v>
      </c>
      <c r="C145" s="6" t="n">
        <v>43</v>
      </c>
      <c r="D145" s="6" t="n">
        <v>19</v>
      </c>
      <c r="E145" s="6" t="n">
        <v>20</v>
      </c>
      <c r="F145" s="6" t="n">
        <v>12</v>
      </c>
      <c r="G145" s="6" t="n">
        <v>21</v>
      </c>
      <c r="H145" s="6" t="n">
        <v>51</v>
      </c>
    </row>
    <row r="146" customFormat="false" ht="15" hidden="false" customHeight="true" outlineLevel="0" collapsed="false">
      <c r="A146" s="6" t="s">
        <v>125</v>
      </c>
      <c r="B146" s="6" t="s">
        <v>89</v>
      </c>
      <c r="C146" s="6" t="n">
        <v>42</v>
      </c>
      <c r="D146" s="6" t="n">
        <v>2</v>
      </c>
      <c r="E146" s="6" t="n">
        <v>54</v>
      </c>
      <c r="F146" s="6" t="n">
        <v>35</v>
      </c>
      <c r="G146" s="6" t="n">
        <v>41</v>
      </c>
      <c r="H146" s="6" t="n">
        <v>49</v>
      </c>
    </row>
    <row r="147" customFormat="false" ht="15" hidden="false" customHeight="true" outlineLevel="0" collapsed="false">
      <c r="A147" s="6" t="s">
        <v>125</v>
      </c>
      <c r="B147" s="6" t="s">
        <v>48</v>
      </c>
      <c r="C147" s="6" t="n">
        <v>48</v>
      </c>
      <c r="D147" s="6" t="n">
        <v>33</v>
      </c>
      <c r="E147" s="6" t="n">
        <v>17</v>
      </c>
      <c r="F147" s="6" t="n">
        <v>2</v>
      </c>
      <c r="G147" s="6" t="n">
        <v>37</v>
      </c>
      <c r="H147" s="6" t="n">
        <v>10</v>
      </c>
    </row>
    <row r="148" customFormat="false" ht="15" hidden="false" customHeight="true" outlineLevel="0" collapsed="false">
      <c r="A148" s="6" t="s">
        <v>125</v>
      </c>
      <c r="B148" s="6" t="s">
        <v>91</v>
      </c>
      <c r="C148" s="6" t="n">
        <v>33</v>
      </c>
      <c r="D148" s="6" t="n">
        <v>13</v>
      </c>
      <c r="E148" s="6" t="n">
        <v>47</v>
      </c>
      <c r="F148" s="6" t="n">
        <v>46</v>
      </c>
      <c r="G148" s="6" t="n">
        <v>17</v>
      </c>
      <c r="H148" s="6" t="n">
        <v>25</v>
      </c>
    </row>
    <row r="149" customFormat="false" ht="15" hidden="false" customHeight="true" outlineLevel="0" collapsed="false">
      <c r="A149" s="6" t="s">
        <v>125</v>
      </c>
      <c r="B149" s="6" t="s">
        <v>92</v>
      </c>
      <c r="C149" s="6" t="n">
        <v>5</v>
      </c>
      <c r="D149" s="6" t="n">
        <v>40</v>
      </c>
      <c r="E149" s="6" t="n">
        <v>27</v>
      </c>
      <c r="F149" s="6" t="n">
        <v>24</v>
      </c>
      <c r="G149" s="6" t="n">
        <v>55</v>
      </c>
      <c r="H149" s="6" t="n">
        <v>22</v>
      </c>
    </row>
    <row r="150" customFormat="false" ht="15" hidden="false" customHeight="true" outlineLevel="0" collapsed="false">
      <c r="A150" s="6" t="s">
        <v>125</v>
      </c>
      <c r="B150" s="6" t="s">
        <v>51</v>
      </c>
      <c r="C150" s="6" t="n">
        <v>42</v>
      </c>
      <c r="D150" s="6" t="n">
        <v>48</v>
      </c>
      <c r="E150" s="6" t="n">
        <v>19</v>
      </c>
      <c r="F150" s="6" t="n">
        <v>43</v>
      </c>
      <c r="G150" s="6" t="n">
        <v>5</v>
      </c>
      <c r="H150" s="6" t="n">
        <v>2</v>
      </c>
    </row>
    <row r="151" customFormat="false" ht="15" hidden="false" customHeight="true" outlineLevel="0" collapsed="false">
      <c r="A151" s="6" t="s">
        <v>125</v>
      </c>
      <c r="B151" s="6" t="s">
        <v>94</v>
      </c>
      <c r="C151" s="6" t="n">
        <v>40</v>
      </c>
      <c r="D151" s="6" t="n">
        <v>52</v>
      </c>
      <c r="E151" s="6" t="n">
        <v>32</v>
      </c>
      <c r="F151" s="6" t="n">
        <v>46</v>
      </c>
      <c r="G151" s="6" t="n">
        <v>20</v>
      </c>
      <c r="H151" s="6" t="n">
        <v>7</v>
      </c>
    </row>
    <row r="152" customFormat="false" ht="15" hidden="false" customHeight="true" outlineLevel="0" collapsed="false">
      <c r="A152" s="6" t="s">
        <v>125</v>
      </c>
      <c r="B152" s="6" t="s">
        <v>95</v>
      </c>
      <c r="C152" s="6" t="n">
        <v>39</v>
      </c>
      <c r="D152" s="6" t="n">
        <v>29</v>
      </c>
      <c r="E152" s="6" t="n">
        <v>45</v>
      </c>
      <c r="F152" s="6" t="n">
        <v>2</v>
      </c>
      <c r="G152" s="6" t="n">
        <v>38</v>
      </c>
      <c r="H152" s="6" t="n">
        <v>43</v>
      </c>
    </row>
    <row r="153" customFormat="false" ht="15" hidden="false" customHeight="true" outlineLevel="0" collapsed="false">
      <c r="A153" s="6" t="s">
        <v>125</v>
      </c>
      <c r="B153" s="6" t="s">
        <v>54</v>
      </c>
      <c r="C153" s="6" t="n">
        <v>9</v>
      </c>
      <c r="D153" s="6" t="n">
        <v>6</v>
      </c>
      <c r="E153" s="6" t="n">
        <v>19</v>
      </c>
      <c r="F153" s="6" t="n">
        <v>46</v>
      </c>
      <c r="G153" s="6" t="n">
        <v>39</v>
      </c>
      <c r="H153" s="6" t="n">
        <v>48</v>
      </c>
    </row>
    <row r="154" customFormat="false" ht="15" hidden="false" customHeight="true" outlineLevel="0" collapsed="false">
      <c r="A154" s="6" t="s">
        <v>125</v>
      </c>
      <c r="B154" s="6" t="s">
        <v>97</v>
      </c>
      <c r="C154" s="6" t="n">
        <v>47</v>
      </c>
      <c r="D154" s="6" t="n">
        <v>44</v>
      </c>
      <c r="E154" s="6" t="n">
        <v>26</v>
      </c>
      <c r="F154" s="6" t="n">
        <v>29</v>
      </c>
      <c r="G154" s="6" t="n">
        <v>38</v>
      </c>
      <c r="H154" s="6" t="n">
        <v>51</v>
      </c>
    </row>
    <row r="155" customFormat="false" ht="15" hidden="false" customHeight="true" outlineLevel="0" collapsed="false">
      <c r="A155" s="6" t="s">
        <v>125</v>
      </c>
      <c r="B155" s="6" t="s">
        <v>98</v>
      </c>
      <c r="C155" s="6" t="n">
        <v>41</v>
      </c>
      <c r="D155" s="6" t="n">
        <v>8</v>
      </c>
      <c r="E155" s="6" t="n">
        <v>45</v>
      </c>
      <c r="F155" s="6" t="n">
        <v>27</v>
      </c>
      <c r="G155" s="6" t="n">
        <v>9</v>
      </c>
      <c r="H155" s="6" t="n">
        <v>10</v>
      </c>
    </row>
    <row r="156" customFormat="false" ht="15" hidden="false" customHeight="true" outlineLevel="0" collapsed="false">
      <c r="A156" s="6" t="s">
        <v>125</v>
      </c>
      <c r="B156" s="6" t="s">
        <v>57</v>
      </c>
      <c r="C156" s="6" t="n">
        <v>52</v>
      </c>
      <c r="D156" s="6" t="n">
        <v>36</v>
      </c>
      <c r="E156" s="6" t="n">
        <v>38</v>
      </c>
      <c r="F156" s="6" t="n">
        <v>12</v>
      </c>
      <c r="G156" s="6" t="n">
        <v>48</v>
      </c>
      <c r="H156" s="6" t="n">
        <v>42</v>
      </c>
    </row>
    <row r="157" customFormat="false" ht="15" hidden="false" customHeight="true" outlineLevel="0" collapsed="false">
      <c r="A157" s="6" t="s">
        <v>125</v>
      </c>
      <c r="B157" s="6" t="s">
        <v>100</v>
      </c>
      <c r="C157" s="6" t="n">
        <v>48</v>
      </c>
      <c r="D157" s="6" t="n">
        <v>42</v>
      </c>
      <c r="E157" s="6" t="n">
        <v>23</v>
      </c>
      <c r="F157" s="6" t="n">
        <v>18</v>
      </c>
      <c r="G157" s="6" t="n">
        <v>55</v>
      </c>
      <c r="H157" s="6" t="n">
        <v>33</v>
      </c>
    </row>
    <row r="158" customFormat="false" ht="15" hidden="false" customHeight="true" outlineLevel="0" collapsed="false">
      <c r="A158" s="6" t="s">
        <v>125</v>
      </c>
      <c r="B158" s="6" t="s">
        <v>101</v>
      </c>
      <c r="C158" s="6" t="n">
        <v>33</v>
      </c>
      <c r="D158" s="6" t="n">
        <v>46</v>
      </c>
      <c r="E158" s="6" t="n">
        <v>43</v>
      </c>
      <c r="F158" s="6" t="n">
        <v>19</v>
      </c>
      <c r="G158" s="6" t="n">
        <v>38</v>
      </c>
      <c r="H158" s="6" t="n">
        <v>42</v>
      </c>
    </row>
    <row r="159" customFormat="false" ht="15" hidden="false" customHeight="true" outlineLevel="0" collapsed="false">
      <c r="A159" s="6" t="s">
        <v>125</v>
      </c>
      <c r="B159" s="6" t="s">
        <v>60</v>
      </c>
      <c r="C159" s="6" t="n">
        <v>19</v>
      </c>
      <c r="D159" s="6" t="n">
        <v>37</v>
      </c>
      <c r="E159" s="6" t="n">
        <v>21</v>
      </c>
      <c r="F159" s="6" t="n">
        <v>39</v>
      </c>
      <c r="G159" s="6" t="n">
        <v>9</v>
      </c>
      <c r="H159" s="6" t="n">
        <v>22</v>
      </c>
    </row>
    <row r="160" customFormat="false" ht="15" hidden="false" customHeight="true" outlineLevel="0" collapsed="false">
      <c r="A160" s="6" t="s">
        <v>125</v>
      </c>
      <c r="B160" s="6" t="s">
        <v>103</v>
      </c>
      <c r="C160" s="6" t="n">
        <v>36</v>
      </c>
      <c r="D160" s="6" t="n">
        <v>4</v>
      </c>
      <c r="E160" s="6" t="n">
        <v>9</v>
      </c>
      <c r="F160" s="6" t="n">
        <v>44</v>
      </c>
      <c r="G160" s="6" t="n">
        <v>42</v>
      </c>
      <c r="H160" s="6" t="n">
        <v>24</v>
      </c>
    </row>
    <row r="161" customFormat="false" ht="15" hidden="false" customHeight="true" outlineLevel="0" collapsed="false">
      <c r="A161" s="6" t="s">
        <v>125</v>
      </c>
      <c r="B161" s="6" t="s">
        <v>104</v>
      </c>
      <c r="C161" s="6" t="n">
        <v>19</v>
      </c>
      <c r="D161" s="6" t="n">
        <v>42</v>
      </c>
      <c r="E161" s="6" t="n">
        <v>53</v>
      </c>
      <c r="F161" s="6" t="n">
        <v>2</v>
      </c>
      <c r="G161" s="6" t="n">
        <v>46</v>
      </c>
      <c r="H161" s="6" t="n">
        <v>3</v>
      </c>
    </row>
    <row r="162" customFormat="false" ht="15" hidden="false" customHeight="true" outlineLevel="0" collapsed="false">
      <c r="A162" s="6" t="s">
        <v>125</v>
      </c>
      <c r="B162" s="6" t="s">
        <v>63</v>
      </c>
      <c r="C162" s="6" t="n">
        <v>32</v>
      </c>
      <c r="D162" s="6" t="n">
        <v>36</v>
      </c>
      <c r="E162" s="6" t="n">
        <v>29</v>
      </c>
      <c r="F162" s="6" t="n">
        <v>19</v>
      </c>
      <c r="G162" s="6" t="n">
        <v>8</v>
      </c>
      <c r="H162" s="6" t="n">
        <v>30</v>
      </c>
    </row>
    <row r="163" customFormat="false" ht="15" hidden="false" customHeight="true" outlineLevel="0" collapsed="false">
      <c r="A163" s="6" t="s">
        <v>125</v>
      </c>
      <c r="B163" s="6" t="s">
        <v>106</v>
      </c>
      <c r="C163" s="6" t="n">
        <v>50</v>
      </c>
      <c r="D163" s="6" t="n">
        <v>43</v>
      </c>
      <c r="E163" s="6" t="n">
        <v>24</v>
      </c>
      <c r="F163" s="6" t="n">
        <v>1</v>
      </c>
      <c r="G163" s="6" t="n">
        <v>7</v>
      </c>
      <c r="H163" s="6" t="n">
        <v>15</v>
      </c>
    </row>
    <row r="164" customFormat="false" ht="15" hidden="false" customHeight="true" outlineLevel="0" collapsed="false">
      <c r="A164" s="6" t="s">
        <v>125</v>
      </c>
      <c r="B164" s="6" t="s">
        <v>107</v>
      </c>
      <c r="C164" s="6" t="n">
        <v>53</v>
      </c>
      <c r="D164" s="6" t="n">
        <v>19</v>
      </c>
      <c r="E164" s="6" t="n">
        <v>8</v>
      </c>
      <c r="F164" s="6" t="n">
        <v>34</v>
      </c>
      <c r="G164" s="6" t="n">
        <v>38</v>
      </c>
      <c r="H164" s="6" t="n">
        <v>52</v>
      </c>
    </row>
    <row r="165" customFormat="false" ht="15" hidden="false" customHeight="true" outlineLevel="0" collapsed="false">
      <c r="A165" s="6" t="s">
        <v>125</v>
      </c>
      <c r="B165" s="6" t="s">
        <v>66</v>
      </c>
      <c r="C165" s="6" t="n">
        <v>16</v>
      </c>
      <c r="D165" s="6" t="n">
        <v>43</v>
      </c>
      <c r="E165" s="6" t="n">
        <v>21</v>
      </c>
      <c r="F165" s="6" t="n">
        <v>22</v>
      </c>
      <c r="G165" s="6" t="n">
        <v>26</v>
      </c>
      <c r="H165" s="6" t="n">
        <v>50</v>
      </c>
    </row>
    <row r="166" customFormat="false" ht="15" hidden="false" customHeight="true" outlineLevel="0" collapsed="false">
      <c r="A166" s="6" t="s">
        <v>125</v>
      </c>
      <c r="B166" s="6" t="s">
        <v>109</v>
      </c>
      <c r="C166" s="6" t="n">
        <v>8</v>
      </c>
      <c r="D166" s="6" t="n">
        <v>44</v>
      </c>
      <c r="E166" s="6" t="n">
        <v>43</v>
      </c>
      <c r="F166" s="6" t="n">
        <v>24</v>
      </c>
      <c r="G166" s="6" t="n">
        <v>4</v>
      </c>
      <c r="H166" s="6" t="n">
        <v>11</v>
      </c>
    </row>
    <row r="167" customFormat="false" ht="15" hidden="false" customHeight="true" outlineLevel="0" collapsed="false">
      <c r="A167" s="6" t="s">
        <v>126</v>
      </c>
      <c r="B167" s="6" t="s">
        <v>27</v>
      </c>
      <c r="C167" s="6" t="n">
        <v>42</v>
      </c>
      <c r="D167" s="6" t="n">
        <v>58</v>
      </c>
      <c r="E167" s="6" t="n">
        <v>35</v>
      </c>
      <c r="F167" s="6" t="n">
        <v>2</v>
      </c>
      <c r="G167" s="6" t="n">
        <v>51</v>
      </c>
      <c r="H167" s="6" t="n">
        <v>26</v>
      </c>
    </row>
    <row r="168" customFormat="false" ht="15" hidden="false" customHeight="true" outlineLevel="0" collapsed="false">
      <c r="A168" s="6" t="s">
        <v>126</v>
      </c>
      <c r="B168" s="6" t="s">
        <v>70</v>
      </c>
      <c r="C168" s="6" t="n">
        <v>6</v>
      </c>
      <c r="D168" s="6" t="n">
        <v>17</v>
      </c>
      <c r="E168" s="6" t="n">
        <v>12</v>
      </c>
      <c r="F168" s="6" t="n">
        <v>58</v>
      </c>
      <c r="G168" s="6" t="n">
        <v>15</v>
      </c>
      <c r="H168" s="6" t="n">
        <v>11</v>
      </c>
    </row>
    <row r="169" customFormat="false" ht="15" hidden="false" customHeight="true" outlineLevel="0" collapsed="false">
      <c r="A169" s="6" t="s">
        <v>126</v>
      </c>
      <c r="B169" s="6" t="s">
        <v>111</v>
      </c>
      <c r="C169" s="6" t="n">
        <v>51</v>
      </c>
      <c r="D169" s="6" t="n">
        <v>54</v>
      </c>
      <c r="E169" s="6" t="n">
        <v>37</v>
      </c>
      <c r="F169" s="6" t="n">
        <v>36</v>
      </c>
      <c r="G169" s="6" t="n">
        <v>42</v>
      </c>
      <c r="H169" s="6" t="n">
        <v>57</v>
      </c>
    </row>
    <row r="170" customFormat="false" ht="15" hidden="false" customHeight="true" outlineLevel="0" collapsed="false">
      <c r="A170" s="6" t="s">
        <v>126</v>
      </c>
      <c r="B170" s="6" t="s">
        <v>30</v>
      </c>
      <c r="C170" s="6" t="n">
        <v>29</v>
      </c>
      <c r="D170" s="6" t="n">
        <v>52</v>
      </c>
      <c r="E170" s="6" t="n">
        <v>49</v>
      </c>
      <c r="F170" s="6" t="n">
        <v>55</v>
      </c>
      <c r="G170" s="6" t="n">
        <v>25</v>
      </c>
      <c r="H170" s="6" t="n">
        <v>9</v>
      </c>
    </row>
    <row r="171" customFormat="false" ht="15" hidden="false" customHeight="true" outlineLevel="0" collapsed="false">
      <c r="A171" s="6" t="s">
        <v>126</v>
      </c>
      <c r="B171" s="6" t="s">
        <v>73</v>
      </c>
      <c r="C171" s="6" t="n">
        <v>47</v>
      </c>
      <c r="D171" s="6" t="n">
        <v>19</v>
      </c>
      <c r="E171" s="6" t="n">
        <v>23</v>
      </c>
      <c r="F171" s="6" t="n">
        <v>34</v>
      </c>
      <c r="G171" s="6" t="n">
        <v>20</v>
      </c>
      <c r="H171" s="6" t="n">
        <v>37</v>
      </c>
    </row>
    <row r="172" customFormat="false" ht="15" hidden="false" customHeight="true" outlineLevel="0" collapsed="false">
      <c r="A172" s="6" t="s">
        <v>126</v>
      </c>
      <c r="B172" s="6" t="s">
        <v>112</v>
      </c>
      <c r="C172" s="6" t="n">
        <v>14</v>
      </c>
      <c r="D172" s="6" t="n">
        <v>8</v>
      </c>
      <c r="E172" s="6" t="n">
        <v>22</v>
      </c>
      <c r="F172" s="6" t="n">
        <v>50</v>
      </c>
      <c r="G172" s="6" t="n">
        <v>58</v>
      </c>
      <c r="H172" s="6" t="n">
        <v>19</v>
      </c>
    </row>
    <row r="173" customFormat="false" ht="15" hidden="false" customHeight="true" outlineLevel="0" collapsed="false">
      <c r="A173" s="6" t="s">
        <v>126</v>
      </c>
      <c r="B173" s="6" t="s">
        <v>33</v>
      </c>
      <c r="C173" s="6" t="n">
        <v>16</v>
      </c>
      <c r="D173" s="6" t="n">
        <v>20</v>
      </c>
      <c r="E173" s="6" t="n">
        <v>12</v>
      </c>
      <c r="F173" s="6" t="n">
        <v>18</v>
      </c>
      <c r="G173" s="6" t="n">
        <v>48</v>
      </c>
      <c r="H173" s="6" t="n">
        <v>50</v>
      </c>
    </row>
    <row r="174" customFormat="false" ht="15" hidden="false" customHeight="true" outlineLevel="0" collapsed="false">
      <c r="A174" s="6" t="s">
        <v>126</v>
      </c>
      <c r="B174" s="6" t="s">
        <v>76</v>
      </c>
      <c r="C174" s="6" t="n">
        <v>12</v>
      </c>
      <c r="D174" s="6" t="n">
        <v>57</v>
      </c>
      <c r="E174" s="6" t="n">
        <v>16</v>
      </c>
      <c r="F174" s="6" t="n">
        <v>1</v>
      </c>
      <c r="G174" s="6" t="n">
        <v>42</v>
      </c>
      <c r="H174" s="6" t="n">
        <v>51</v>
      </c>
    </row>
    <row r="175" customFormat="false" ht="15" hidden="false" customHeight="true" outlineLevel="0" collapsed="false">
      <c r="A175" s="6" t="s">
        <v>126</v>
      </c>
      <c r="B175" s="6" t="s">
        <v>113</v>
      </c>
      <c r="C175" s="6" t="n">
        <v>45</v>
      </c>
      <c r="D175" s="6" t="n">
        <v>49</v>
      </c>
      <c r="E175" s="6" t="n">
        <v>34</v>
      </c>
      <c r="F175" s="6" t="n">
        <v>52</v>
      </c>
      <c r="G175" s="6" t="n">
        <v>9</v>
      </c>
      <c r="H175" s="6" t="n">
        <v>28</v>
      </c>
    </row>
    <row r="176" customFormat="false" ht="15" hidden="false" customHeight="true" outlineLevel="0" collapsed="false">
      <c r="A176" s="6" t="s">
        <v>126</v>
      </c>
      <c r="B176" s="6" t="s">
        <v>36</v>
      </c>
      <c r="C176" s="6" t="n">
        <v>36</v>
      </c>
      <c r="D176" s="6" t="n">
        <v>7</v>
      </c>
      <c r="E176" s="6" t="n">
        <v>29</v>
      </c>
      <c r="F176" s="6" t="n">
        <v>26</v>
      </c>
      <c r="G176" s="6" t="n">
        <v>58</v>
      </c>
      <c r="H176" s="6" t="n">
        <v>9</v>
      </c>
    </row>
    <row r="177" customFormat="false" ht="15" hidden="false" customHeight="true" outlineLevel="0" collapsed="false">
      <c r="A177" s="6" t="s">
        <v>126</v>
      </c>
      <c r="B177" s="6" t="s">
        <v>114</v>
      </c>
      <c r="C177" s="6" t="n">
        <v>33</v>
      </c>
      <c r="D177" s="6" t="n">
        <v>40</v>
      </c>
      <c r="E177" s="6" t="n">
        <v>53</v>
      </c>
      <c r="F177" s="6" t="n">
        <v>22</v>
      </c>
      <c r="G177" s="6" t="n">
        <v>32</v>
      </c>
      <c r="H177" s="6" t="n">
        <v>8</v>
      </c>
    </row>
    <row r="178" customFormat="false" ht="15" hidden="false" customHeight="true" outlineLevel="0" collapsed="false">
      <c r="A178" s="6" t="s">
        <v>126</v>
      </c>
      <c r="B178" s="6" t="s">
        <v>37</v>
      </c>
      <c r="C178" s="6" t="n">
        <v>17</v>
      </c>
      <c r="D178" s="6" t="n">
        <v>31</v>
      </c>
      <c r="E178" s="6" t="n">
        <v>50</v>
      </c>
      <c r="F178" s="6" t="n">
        <v>43</v>
      </c>
      <c r="G178" s="6" t="n">
        <v>15</v>
      </c>
      <c r="H178" s="6" t="n">
        <v>10</v>
      </c>
    </row>
    <row r="179" customFormat="false" ht="15" hidden="false" customHeight="true" outlineLevel="0" collapsed="false">
      <c r="A179" s="6" t="s">
        <v>126</v>
      </c>
      <c r="B179" s="6" t="s">
        <v>81</v>
      </c>
      <c r="C179" s="6" t="n">
        <v>50</v>
      </c>
      <c r="D179" s="6" t="n">
        <v>6</v>
      </c>
      <c r="E179" s="6" t="n">
        <v>14</v>
      </c>
      <c r="F179" s="6" t="n">
        <v>24</v>
      </c>
      <c r="G179" s="6" t="n">
        <v>57</v>
      </c>
      <c r="H179" s="6" t="n">
        <v>38</v>
      </c>
    </row>
    <row r="180" customFormat="false" ht="15" hidden="false" customHeight="true" outlineLevel="0" collapsed="false">
      <c r="A180" s="6" t="s">
        <v>126</v>
      </c>
      <c r="B180" s="6" t="s">
        <v>115</v>
      </c>
      <c r="C180" s="6" t="n">
        <v>2</v>
      </c>
      <c r="D180" s="6" t="n">
        <v>21</v>
      </c>
      <c r="E180" s="6" t="n">
        <v>42</v>
      </c>
      <c r="F180" s="6" t="n">
        <v>34</v>
      </c>
      <c r="G180" s="6" t="n">
        <v>31</v>
      </c>
      <c r="H180" s="6" t="n">
        <v>8</v>
      </c>
    </row>
    <row r="181" customFormat="false" ht="15" hidden="false" customHeight="true" outlineLevel="0" collapsed="false">
      <c r="A181" s="6" t="s">
        <v>126</v>
      </c>
      <c r="B181" s="6" t="s">
        <v>40</v>
      </c>
      <c r="C181" s="6" t="n">
        <v>30</v>
      </c>
      <c r="D181" s="6" t="n">
        <v>19</v>
      </c>
      <c r="E181" s="6" t="n">
        <v>20</v>
      </c>
      <c r="F181" s="6" t="n">
        <v>58</v>
      </c>
      <c r="G181" s="6" t="n">
        <v>9</v>
      </c>
      <c r="H181" s="6" t="n">
        <v>22</v>
      </c>
    </row>
    <row r="182" customFormat="false" ht="15" hidden="false" customHeight="true" outlineLevel="0" collapsed="false">
      <c r="A182" s="6" t="s">
        <v>126</v>
      </c>
      <c r="B182" s="6" t="s">
        <v>84</v>
      </c>
      <c r="C182" s="6" t="n">
        <v>24</v>
      </c>
      <c r="D182" s="6" t="n">
        <v>28</v>
      </c>
      <c r="E182" s="6" t="n">
        <v>20</v>
      </c>
      <c r="F182" s="6" t="n">
        <v>52</v>
      </c>
      <c r="G182" s="6" t="n">
        <v>26</v>
      </c>
      <c r="H182" s="6" t="n">
        <v>36</v>
      </c>
    </row>
    <row r="183" customFormat="false" ht="15" hidden="false" customHeight="true" outlineLevel="0" collapsed="false">
      <c r="A183" s="6" t="s">
        <v>126</v>
      </c>
      <c r="B183" s="6" t="s">
        <v>116</v>
      </c>
      <c r="C183" s="6" t="n">
        <v>40</v>
      </c>
      <c r="D183" s="6" t="n">
        <v>50</v>
      </c>
      <c r="E183" s="6" t="n">
        <v>13</v>
      </c>
      <c r="F183" s="6" t="n">
        <v>33</v>
      </c>
      <c r="G183" s="6" t="n">
        <v>15</v>
      </c>
      <c r="H183" s="6" t="n">
        <v>58</v>
      </c>
    </row>
    <row r="184" customFormat="false" ht="15" hidden="false" customHeight="true" outlineLevel="0" collapsed="false">
      <c r="A184" s="6" t="s">
        <v>126</v>
      </c>
      <c r="B184" s="6" t="s">
        <v>43</v>
      </c>
      <c r="C184" s="6" t="n">
        <v>58</v>
      </c>
      <c r="D184" s="6" t="n">
        <v>34</v>
      </c>
      <c r="E184" s="6" t="n">
        <v>43</v>
      </c>
      <c r="F184" s="6" t="n">
        <v>5</v>
      </c>
      <c r="G184" s="6" t="n">
        <v>40</v>
      </c>
      <c r="H184" s="6" t="n">
        <v>3</v>
      </c>
    </row>
    <row r="185" customFormat="false" ht="15" hidden="false" customHeight="true" outlineLevel="0" collapsed="false">
      <c r="A185" s="6" t="s">
        <v>126</v>
      </c>
      <c r="B185" s="6" t="s">
        <v>87</v>
      </c>
      <c r="C185" s="6" t="n">
        <v>37</v>
      </c>
      <c r="D185" s="6" t="n">
        <v>42</v>
      </c>
      <c r="E185" s="6" t="n">
        <v>36</v>
      </c>
      <c r="F185" s="6" t="n">
        <v>21</v>
      </c>
      <c r="G185" s="6" t="n">
        <v>47</v>
      </c>
      <c r="H185" s="6" t="n">
        <v>27</v>
      </c>
    </row>
    <row r="186" customFormat="false" ht="15" hidden="false" customHeight="true" outlineLevel="0" collapsed="false">
      <c r="A186" s="6" t="s">
        <v>126</v>
      </c>
      <c r="B186" s="6" t="s">
        <v>117</v>
      </c>
      <c r="C186" s="6" t="n">
        <v>48</v>
      </c>
      <c r="D186" s="6" t="n">
        <v>56</v>
      </c>
      <c r="E186" s="6" t="n">
        <v>29</v>
      </c>
      <c r="F186" s="6" t="n">
        <v>39</v>
      </c>
      <c r="G186" s="6" t="n">
        <v>55</v>
      </c>
      <c r="H186" s="6" t="n">
        <v>45</v>
      </c>
    </row>
    <row r="187" customFormat="false" ht="15" hidden="false" customHeight="true" outlineLevel="0" collapsed="false">
      <c r="A187" s="6" t="s">
        <v>126</v>
      </c>
      <c r="B187" s="6" t="s">
        <v>46</v>
      </c>
      <c r="C187" s="6" t="n">
        <v>9</v>
      </c>
      <c r="D187" s="6" t="n">
        <v>47</v>
      </c>
      <c r="E187" s="6" t="n">
        <v>32</v>
      </c>
      <c r="F187" s="6" t="n">
        <v>39</v>
      </c>
      <c r="G187" s="6" t="n">
        <v>45</v>
      </c>
      <c r="H187" s="6" t="n">
        <v>33</v>
      </c>
    </row>
    <row r="188" customFormat="false" ht="15" hidden="false" customHeight="true" outlineLevel="0" collapsed="false">
      <c r="A188" s="6" t="s">
        <v>126</v>
      </c>
      <c r="B188" s="6" t="s">
        <v>90</v>
      </c>
      <c r="C188" s="6" t="n">
        <v>53</v>
      </c>
      <c r="D188" s="6" t="n">
        <v>37</v>
      </c>
      <c r="E188" s="6" t="n">
        <v>16</v>
      </c>
      <c r="F188" s="6" t="n">
        <v>45</v>
      </c>
      <c r="G188" s="6" t="n">
        <v>5</v>
      </c>
      <c r="H188" s="6" t="n">
        <v>29</v>
      </c>
    </row>
    <row r="189" customFormat="false" ht="15" hidden="false" customHeight="true" outlineLevel="0" collapsed="false">
      <c r="A189" s="6" t="s">
        <v>126</v>
      </c>
      <c r="B189" s="6" t="s">
        <v>118</v>
      </c>
      <c r="C189" s="6" t="n">
        <v>32</v>
      </c>
      <c r="D189" s="6" t="n">
        <v>53</v>
      </c>
      <c r="E189" s="6" t="n">
        <v>51</v>
      </c>
      <c r="F189" s="6" t="n">
        <v>15</v>
      </c>
      <c r="G189" s="6" t="n">
        <v>36</v>
      </c>
      <c r="H189" s="6" t="n">
        <v>17</v>
      </c>
    </row>
    <row r="190" customFormat="false" ht="15" hidden="false" customHeight="true" outlineLevel="0" collapsed="false">
      <c r="A190" s="6" t="s">
        <v>126</v>
      </c>
      <c r="B190" s="6" t="s">
        <v>49</v>
      </c>
      <c r="C190" s="6" t="n">
        <v>1</v>
      </c>
      <c r="D190" s="6" t="n">
        <v>58</v>
      </c>
      <c r="E190" s="6" t="n">
        <v>25</v>
      </c>
      <c r="F190" s="6" t="n">
        <v>43</v>
      </c>
      <c r="G190" s="6" t="n">
        <v>26</v>
      </c>
      <c r="H190" s="6" t="n">
        <v>16</v>
      </c>
    </row>
    <row r="191" customFormat="false" ht="15" hidden="false" customHeight="true" outlineLevel="0" collapsed="false">
      <c r="A191" s="6" t="s">
        <v>126</v>
      </c>
      <c r="B191" s="6" t="s">
        <v>93</v>
      </c>
      <c r="C191" s="6" t="n">
        <v>35</v>
      </c>
      <c r="D191" s="6" t="n">
        <v>20</v>
      </c>
      <c r="E191" s="6" t="n">
        <v>54</v>
      </c>
      <c r="F191" s="6" t="n">
        <v>51</v>
      </c>
      <c r="G191" s="6" t="n">
        <v>8</v>
      </c>
      <c r="H191" s="6" t="n">
        <v>2</v>
      </c>
    </row>
    <row r="192" customFormat="false" ht="15" hidden="false" customHeight="true" outlineLevel="0" collapsed="false">
      <c r="A192" s="6" t="s">
        <v>126</v>
      </c>
      <c r="B192" s="6" t="s">
        <v>119</v>
      </c>
      <c r="C192" s="6" t="n">
        <v>54</v>
      </c>
      <c r="D192" s="6" t="n">
        <v>45</v>
      </c>
      <c r="E192" s="6" t="n">
        <v>8</v>
      </c>
      <c r="F192" s="6" t="n">
        <v>21</v>
      </c>
      <c r="G192" s="6" t="n">
        <v>52</v>
      </c>
      <c r="H192" s="6" t="n">
        <v>31</v>
      </c>
    </row>
    <row r="193" customFormat="false" ht="15" hidden="false" customHeight="true" outlineLevel="0" collapsed="false">
      <c r="A193" s="6" t="s">
        <v>126</v>
      </c>
      <c r="B193" s="6" t="s">
        <v>52</v>
      </c>
      <c r="C193" s="6" t="n">
        <v>56</v>
      </c>
      <c r="D193" s="6" t="n">
        <v>16</v>
      </c>
      <c r="E193" s="6" t="n">
        <v>28</v>
      </c>
      <c r="F193" s="6" t="n">
        <v>36</v>
      </c>
      <c r="G193" s="6" t="n">
        <v>50</v>
      </c>
      <c r="H193" s="6" t="n">
        <v>25</v>
      </c>
    </row>
    <row r="194" customFormat="false" ht="15" hidden="false" customHeight="true" outlineLevel="0" collapsed="false">
      <c r="A194" s="6" t="s">
        <v>126</v>
      </c>
      <c r="B194" s="6" t="s">
        <v>96</v>
      </c>
      <c r="C194" s="6" t="n">
        <v>2</v>
      </c>
      <c r="D194" s="6" t="n">
        <v>1</v>
      </c>
      <c r="E194" s="6" t="n">
        <v>38</v>
      </c>
      <c r="F194" s="6" t="n">
        <v>15</v>
      </c>
      <c r="G194" s="6" t="n">
        <v>14</v>
      </c>
      <c r="H194" s="6" t="n">
        <v>47</v>
      </c>
    </row>
    <row r="195" customFormat="false" ht="15" hidden="false" customHeight="true" outlineLevel="0" collapsed="false">
      <c r="A195" s="6" t="s">
        <v>126</v>
      </c>
      <c r="B195" s="6" t="s">
        <v>120</v>
      </c>
      <c r="C195" s="6" t="n">
        <v>39</v>
      </c>
      <c r="D195" s="6" t="n">
        <v>37</v>
      </c>
      <c r="E195" s="6" t="n">
        <v>35</v>
      </c>
      <c r="F195" s="6" t="n">
        <v>45</v>
      </c>
      <c r="G195" s="6" t="n">
        <v>16</v>
      </c>
      <c r="H195" s="6" t="n">
        <v>52</v>
      </c>
    </row>
    <row r="196" customFormat="false" ht="15" hidden="false" customHeight="true" outlineLevel="0" collapsed="false">
      <c r="A196" s="6" t="s">
        <v>126</v>
      </c>
      <c r="B196" s="6" t="s">
        <v>55</v>
      </c>
      <c r="C196" s="6" t="n">
        <v>6</v>
      </c>
      <c r="D196" s="6" t="n">
        <v>38</v>
      </c>
      <c r="E196" s="6" t="n">
        <v>9</v>
      </c>
      <c r="F196" s="6" t="n">
        <v>26</v>
      </c>
      <c r="G196" s="6" t="n">
        <v>48</v>
      </c>
      <c r="H196" s="6" t="n">
        <v>14</v>
      </c>
    </row>
    <row r="197" customFormat="false" ht="15" hidden="false" customHeight="true" outlineLevel="0" collapsed="false">
      <c r="A197" s="6" t="s">
        <v>126</v>
      </c>
      <c r="B197" s="6" t="s">
        <v>99</v>
      </c>
      <c r="C197" s="6" t="n">
        <v>45</v>
      </c>
      <c r="D197" s="6" t="n">
        <v>20</v>
      </c>
      <c r="E197" s="6" t="n">
        <v>16</v>
      </c>
      <c r="F197" s="6" t="n">
        <v>33</v>
      </c>
      <c r="G197" s="6" t="n">
        <v>40</v>
      </c>
      <c r="H197" s="6" t="n">
        <v>28</v>
      </c>
    </row>
    <row r="198" customFormat="false" ht="15" hidden="false" customHeight="true" outlineLevel="0" collapsed="false">
      <c r="A198" s="6" t="s">
        <v>126</v>
      </c>
      <c r="B198" s="6" t="s">
        <v>121</v>
      </c>
      <c r="C198" s="6" t="n">
        <v>50</v>
      </c>
      <c r="D198" s="6" t="n">
        <v>12</v>
      </c>
      <c r="E198" s="6" t="n">
        <v>20</v>
      </c>
      <c r="F198" s="6" t="n">
        <v>57</v>
      </c>
      <c r="G198" s="6" t="n">
        <v>14</v>
      </c>
      <c r="H198" s="6" t="n">
        <v>21</v>
      </c>
    </row>
    <row r="199" customFormat="false" ht="15" hidden="false" customHeight="true" outlineLevel="0" collapsed="false">
      <c r="A199" s="6" t="s">
        <v>126</v>
      </c>
      <c r="B199" s="6" t="s">
        <v>58</v>
      </c>
      <c r="C199" s="6" t="n">
        <v>2</v>
      </c>
      <c r="D199" s="6" t="n">
        <v>11</v>
      </c>
      <c r="E199" s="6" t="n">
        <v>12</v>
      </c>
      <c r="F199" s="6" t="n">
        <v>16</v>
      </c>
      <c r="G199" s="6" t="n">
        <v>55</v>
      </c>
      <c r="H199" s="6" t="n">
        <v>46</v>
      </c>
    </row>
    <row r="200" customFormat="false" ht="15" hidden="false" customHeight="true" outlineLevel="0" collapsed="false">
      <c r="A200" s="6" t="s">
        <v>126</v>
      </c>
      <c r="B200" s="6" t="s">
        <v>102</v>
      </c>
      <c r="C200" s="6" t="n">
        <v>47</v>
      </c>
      <c r="D200" s="6" t="n">
        <v>21</v>
      </c>
      <c r="E200" s="6" t="n">
        <v>43</v>
      </c>
      <c r="F200" s="6" t="n">
        <v>20</v>
      </c>
      <c r="G200" s="6" t="n">
        <v>5</v>
      </c>
      <c r="H200" s="6" t="n">
        <v>37</v>
      </c>
    </row>
    <row r="201" customFormat="false" ht="15" hidden="false" customHeight="true" outlineLevel="0" collapsed="false">
      <c r="A201" s="6" t="s">
        <v>126</v>
      </c>
      <c r="B201" s="6" t="s">
        <v>122</v>
      </c>
      <c r="C201" s="6" t="n">
        <v>9</v>
      </c>
      <c r="D201" s="6" t="n">
        <v>53</v>
      </c>
      <c r="E201" s="6" t="n">
        <v>43</v>
      </c>
      <c r="F201" s="6" t="n">
        <v>39</v>
      </c>
      <c r="G201" s="6" t="n">
        <v>3</v>
      </c>
      <c r="H201" s="6" t="n">
        <v>47</v>
      </c>
    </row>
    <row r="202" customFormat="false" ht="15" hidden="false" customHeight="true" outlineLevel="0" collapsed="false">
      <c r="A202" s="6" t="s">
        <v>126</v>
      </c>
      <c r="B202" s="6" t="s">
        <v>61</v>
      </c>
      <c r="C202" s="6" t="n">
        <v>39</v>
      </c>
      <c r="D202" s="6" t="n">
        <v>36</v>
      </c>
      <c r="E202" s="6" t="n">
        <v>12</v>
      </c>
      <c r="F202" s="6" t="n">
        <v>41</v>
      </c>
      <c r="G202" s="6" t="n">
        <v>4</v>
      </c>
      <c r="H202" s="6" t="n">
        <v>20</v>
      </c>
    </row>
    <row r="203" customFormat="false" ht="15" hidden="false" customHeight="true" outlineLevel="0" collapsed="false">
      <c r="A203" s="6" t="s">
        <v>126</v>
      </c>
      <c r="B203" s="6" t="s">
        <v>105</v>
      </c>
      <c r="C203" s="6" t="n">
        <v>20</v>
      </c>
      <c r="D203" s="6" t="n">
        <v>45</v>
      </c>
      <c r="E203" s="6" t="n">
        <v>13</v>
      </c>
      <c r="F203" s="6" t="n">
        <v>31</v>
      </c>
      <c r="G203" s="6" t="n">
        <v>7</v>
      </c>
      <c r="H203" s="6" t="n">
        <v>27</v>
      </c>
    </row>
    <row r="204" customFormat="false" ht="15" hidden="false" customHeight="true" outlineLevel="0" collapsed="false">
      <c r="A204" s="6" t="s">
        <v>126</v>
      </c>
      <c r="B204" s="6" t="s">
        <v>123</v>
      </c>
      <c r="C204" s="6" t="n">
        <v>53</v>
      </c>
      <c r="D204" s="6" t="n">
        <v>1</v>
      </c>
      <c r="E204" s="6" t="n">
        <v>4</v>
      </c>
      <c r="F204" s="6" t="n">
        <v>45</v>
      </c>
      <c r="G204" s="6" t="n">
        <v>51</v>
      </c>
      <c r="H204" s="6" t="n">
        <v>22</v>
      </c>
    </row>
    <row r="205" customFormat="false" ht="15" hidden="false" customHeight="true" outlineLevel="0" collapsed="false">
      <c r="A205" s="6" t="s">
        <v>126</v>
      </c>
      <c r="B205" s="6" t="s">
        <v>64</v>
      </c>
      <c r="C205" s="6" t="n">
        <v>42</v>
      </c>
      <c r="D205" s="6" t="n">
        <v>7</v>
      </c>
      <c r="E205" s="6" t="n">
        <v>23</v>
      </c>
      <c r="F205" s="6" t="n">
        <v>41</v>
      </c>
      <c r="G205" s="6" t="n">
        <v>56</v>
      </c>
      <c r="H205" s="6" t="n">
        <v>44</v>
      </c>
    </row>
    <row r="206" customFormat="false" ht="15" hidden="false" customHeight="true" outlineLevel="0" collapsed="false">
      <c r="A206" s="6" t="s">
        <v>126</v>
      </c>
      <c r="B206" s="6" t="s">
        <v>108</v>
      </c>
      <c r="C206" s="6" t="n">
        <v>40</v>
      </c>
      <c r="D206" s="6" t="n">
        <v>27</v>
      </c>
      <c r="E206" s="6" t="n">
        <v>10</v>
      </c>
      <c r="F206" s="6" t="n">
        <v>9</v>
      </c>
      <c r="G206" s="6" t="n">
        <v>53</v>
      </c>
      <c r="H206" s="6" t="n">
        <v>29</v>
      </c>
    </row>
    <row r="207" customFormat="false" ht="15" hidden="false" customHeight="true" outlineLevel="0" collapsed="false">
      <c r="A207" s="6" t="s">
        <v>126</v>
      </c>
      <c r="B207" s="6" t="s">
        <v>124</v>
      </c>
      <c r="C207" s="6" t="n">
        <v>17</v>
      </c>
      <c r="D207" s="6" t="n">
        <v>3</v>
      </c>
      <c r="E207" s="6" t="n">
        <v>25</v>
      </c>
      <c r="F207" s="6" t="n">
        <v>57</v>
      </c>
      <c r="G207" s="6" t="n">
        <v>30</v>
      </c>
      <c r="H207" s="6" t="n">
        <v>43</v>
      </c>
    </row>
    <row r="208" customFormat="false" ht="15" hidden="false" customHeight="true" outlineLevel="0" collapsed="false">
      <c r="A208" s="6" t="s">
        <v>126</v>
      </c>
      <c r="B208" s="6" t="s">
        <v>67</v>
      </c>
      <c r="C208" s="6" t="n">
        <v>26</v>
      </c>
      <c r="D208" s="6" t="n">
        <v>8</v>
      </c>
      <c r="E208" s="6" t="n">
        <v>55</v>
      </c>
      <c r="F208" s="6" t="n">
        <v>48</v>
      </c>
      <c r="G208" s="6" t="n">
        <v>5</v>
      </c>
      <c r="H208" s="6" t="n">
        <v>51</v>
      </c>
    </row>
    <row r="209" customFormat="false" ht="15" hidden="false" customHeight="false" outlineLevel="0" collapsed="false">
      <c r="A209" s="6" t="s">
        <v>68</v>
      </c>
      <c r="B209" s="6" t="s">
        <v>127</v>
      </c>
      <c r="C209" s="6" t="n">
        <v>34</v>
      </c>
      <c r="D209" s="6" t="n">
        <v>35</v>
      </c>
      <c r="E209" s="6" t="n">
        <v>9</v>
      </c>
      <c r="F209" s="6" t="n">
        <v>10</v>
      </c>
      <c r="G209" s="6" t="n">
        <v>19</v>
      </c>
      <c r="H209" s="6" t="n">
        <v>32</v>
      </c>
    </row>
    <row r="210" customFormat="false" ht="15" hidden="false" customHeight="false" outlineLevel="0" collapsed="false">
      <c r="A210" s="6" t="s">
        <v>125</v>
      </c>
      <c r="B210" s="6" t="s">
        <v>127</v>
      </c>
      <c r="C210" s="6" t="n">
        <v>55</v>
      </c>
      <c r="D210" s="6" t="n">
        <v>31</v>
      </c>
      <c r="E210" s="6" t="n">
        <v>46</v>
      </c>
      <c r="F210" s="6" t="n">
        <v>37</v>
      </c>
      <c r="G210" s="6" t="n">
        <v>48</v>
      </c>
      <c r="H210" s="6" t="n">
        <v>1</v>
      </c>
    </row>
    <row r="211" customFormat="false" ht="15" hidden="false" customHeight="false" outlineLevel="0" collapsed="false">
      <c r="A211" s="6" t="s">
        <v>26</v>
      </c>
      <c r="B211" s="6" t="s">
        <v>128</v>
      </c>
      <c r="C211" s="6" t="n">
        <v>7</v>
      </c>
      <c r="D211" s="6" t="n">
        <v>36</v>
      </c>
      <c r="E211" s="6" t="n">
        <v>31</v>
      </c>
      <c r="F211" s="6" t="n">
        <v>3</v>
      </c>
      <c r="G211" s="6" t="n">
        <v>35</v>
      </c>
      <c r="H211" s="6" t="n">
        <v>42</v>
      </c>
    </row>
    <row r="212" customFormat="false" ht="15" hidden="false" customHeight="false" outlineLevel="0" collapsed="false">
      <c r="A212" s="6" t="s">
        <v>110</v>
      </c>
      <c r="B212" s="6" t="s">
        <v>128</v>
      </c>
      <c r="C212" s="6" t="n">
        <v>27</v>
      </c>
      <c r="D212" s="6" t="n">
        <v>26</v>
      </c>
      <c r="E212" s="6" t="n">
        <v>21</v>
      </c>
      <c r="F212" s="6" t="n">
        <v>6</v>
      </c>
      <c r="G212" s="6" t="n">
        <v>20</v>
      </c>
      <c r="H212" s="6" t="n">
        <v>16</v>
      </c>
    </row>
    <row r="213" customFormat="false" ht="15" hidden="false" customHeight="false" outlineLevel="0" collapsed="false">
      <c r="A213" s="6" t="s">
        <v>126</v>
      </c>
      <c r="B213" s="6" t="s">
        <v>129</v>
      </c>
      <c r="C213" s="6" t="n">
        <v>43</v>
      </c>
      <c r="D213" s="6" t="n">
        <v>53</v>
      </c>
      <c r="E213" s="6" t="n">
        <v>8</v>
      </c>
      <c r="F213" s="6" t="n">
        <v>45</v>
      </c>
      <c r="G213" s="6" t="n">
        <v>20</v>
      </c>
      <c r="H213" s="6" t="n">
        <v>11</v>
      </c>
    </row>
    <row r="214" customFormat="false" ht="15" hidden="false" customHeight="false" outlineLevel="0" collapsed="false">
      <c r="A214" s="6" t="s">
        <v>68</v>
      </c>
      <c r="B214" s="6" t="s">
        <v>129</v>
      </c>
      <c r="C214" s="6" t="n">
        <v>27</v>
      </c>
      <c r="D214" s="6" t="n">
        <v>15</v>
      </c>
      <c r="E214" s="6" t="n">
        <v>9</v>
      </c>
      <c r="F214" s="6" t="n">
        <v>13</v>
      </c>
      <c r="G214" s="6" t="n">
        <v>12</v>
      </c>
      <c r="H214" s="6" t="n">
        <v>8</v>
      </c>
    </row>
    <row r="215" customFormat="false" ht="15" hidden="false" customHeight="false" outlineLevel="0" collapsed="false">
      <c r="A215" s="6" t="s">
        <v>26</v>
      </c>
      <c r="B215" s="6" t="s">
        <v>130</v>
      </c>
      <c r="C215" s="6" t="n">
        <v>24</v>
      </c>
      <c r="D215" s="6" t="n">
        <v>39</v>
      </c>
      <c r="E215" s="6" t="n">
        <v>23</v>
      </c>
      <c r="F215" s="6" t="n">
        <v>5</v>
      </c>
      <c r="G215" s="6" t="n">
        <v>38</v>
      </c>
      <c r="H215" s="6" t="n">
        <v>12</v>
      </c>
    </row>
    <row r="216" customFormat="false" ht="15" hidden="false" customHeight="false" outlineLevel="0" collapsed="false">
      <c r="A216" s="6" t="s">
        <v>125</v>
      </c>
      <c r="B216" s="6" t="s">
        <v>130</v>
      </c>
      <c r="C216" s="6" t="n">
        <v>24</v>
      </c>
      <c r="D216" s="6" t="n">
        <v>10</v>
      </c>
      <c r="E216" s="6" t="n">
        <v>55</v>
      </c>
      <c r="F216" s="6" t="n">
        <v>36</v>
      </c>
      <c r="G216" s="6" t="n">
        <v>4</v>
      </c>
      <c r="H216" s="6" t="n">
        <v>41</v>
      </c>
    </row>
    <row r="217" customFormat="false" ht="15" hidden="false" customHeight="false" outlineLevel="0" collapsed="false">
      <c r="A217" s="6" t="s">
        <v>110</v>
      </c>
      <c r="B217" s="6" t="s">
        <v>131</v>
      </c>
      <c r="C217" s="6" t="n">
        <v>44</v>
      </c>
      <c r="D217" s="6" t="n">
        <v>13</v>
      </c>
      <c r="E217" s="6" t="n">
        <v>27</v>
      </c>
      <c r="F217" s="6" t="n">
        <v>33</v>
      </c>
      <c r="G217" s="6" t="n">
        <v>24</v>
      </c>
      <c r="H217" s="6" t="n">
        <v>42</v>
      </c>
    </row>
    <row r="218" customFormat="false" ht="15" hidden="false" customHeight="false" outlineLevel="0" collapsed="false">
      <c r="A218" s="6" t="s">
        <v>126</v>
      </c>
      <c r="B218" s="6" t="s">
        <v>131</v>
      </c>
      <c r="C218" s="6" t="n">
        <v>15</v>
      </c>
      <c r="D218" s="6" t="n">
        <v>5</v>
      </c>
      <c r="E218" s="6" t="n">
        <v>45</v>
      </c>
      <c r="F218" s="6" t="n">
        <v>11</v>
      </c>
      <c r="G218" s="6" t="n">
        <v>17</v>
      </c>
      <c r="H218" s="6" t="n">
        <v>39</v>
      </c>
    </row>
    <row r="219" customFormat="false" ht="15" hidden="false" customHeight="false" outlineLevel="0" collapsed="false">
      <c r="A219" s="6" t="s">
        <v>68</v>
      </c>
      <c r="B219" s="6" t="s">
        <v>132</v>
      </c>
      <c r="C219" s="6" t="n">
        <v>28</v>
      </c>
      <c r="D219" s="6" t="n">
        <v>3</v>
      </c>
      <c r="E219" s="6" t="n">
        <v>24</v>
      </c>
      <c r="F219" s="6" t="n">
        <v>31</v>
      </c>
      <c r="G219" s="6" t="n">
        <v>18</v>
      </c>
      <c r="H219" s="6" t="n">
        <v>16</v>
      </c>
    </row>
    <row r="220" customFormat="false" ht="15" hidden="false" customHeight="false" outlineLevel="0" collapsed="false">
      <c r="A220" s="6" t="s">
        <v>125</v>
      </c>
      <c r="B220" s="6" t="s">
        <v>132</v>
      </c>
      <c r="C220" s="6" t="n">
        <v>37</v>
      </c>
      <c r="D220" s="6" t="n">
        <v>32</v>
      </c>
      <c r="E220" s="6" t="n">
        <v>23</v>
      </c>
      <c r="F220" s="6" t="n">
        <v>35</v>
      </c>
      <c r="G220" s="6" t="n">
        <v>53</v>
      </c>
      <c r="H220" s="6" t="n">
        <v>18</v>
      </c>
    </row>
    <row r="221" customFormat="false" ht="15" hidden="false" customHeight="false" outlineLevel="0" collapsed="false">
      <c r="A221" s="6" t="s">
        <v>26</v>
      </c>
      <c r="B221" s="6" t="s">
        <v>133</v>
      </c>
      <c r="C221" s="6" t="n">
        <v>30</v>
      </c>
      <c r="D221" s="6" t="n">
        <v>20</v>
      </c>
      <c r="E221" s="6" t="n">
        <v>11</v>
      </c>
      <c r="F221" s="6" t="n">
        <v>7</v>
      </c>
      <c r="G221" s="6" t="n">
        <v>36</v>
      </c>
      <c r="H221" s="6" t="n">
        <v>1</v>
      </c>
    </row>
    <row r="222" customFormat="false" ht="15" hidden="false" customHeight="false" outlineLevel="0" collapsed="false">
      <c r="A222" s="6" t="s">
        <v>110</v>
      </c>
      <c r="B222" s="6" t="s">
        <v>133</v>
      </c>
      <c r="C222" s="6" t="n">
        <v>44</v>
      </c>
      <c r="D222" s="6" t="n">
        <v>8</v>
      </c>
      <c r="E222" s="6" t="n">
        <v>32</v>
      </c>
      <c r="F222" s="6" t="n">
        <v>42</v>
      </c>
      <c r="G222" s="6" t="n">
        <v>12</v>
      </c>
      <c r="H222" s="6" t="n">
        <v>27</v>
      </c>
    </row>
    <row r="223" customFormat="false" ht="15" hidden="false" customHeight="false" outlineLevel="0" collapsed="false">
      <c r="A223" s="6" t="s">
        <v>126</v>
      </c>
      <c r="B223" s="6" t="s">
        <v>133</v>
      </c>
      <c r="C223" s="6" t="n">
        <v>4</v>
      </c>
      <c r="D223" s="6" t="n">
        <v>21</v>
      </c>
      <c r="E223" s="6" t="n">
        <v>41</v>
      </c>
      <c r="F223" s="6" t="n">
        <v>40</v>
      </c>
      <c r="G223" s="6" t="n">
        <v>39</v>
      </c>
      <c r="H223" s="6" t="n">
        <v>52</v>
      </c>
    </row>
    <row r="224" customFormat="false" ht="15" hidden="false" customHeight="false" outlineLevel="0" collapsed="false">
      <c r="A224" s="6" t="s">
        <v>68</v>
      </c>
      <c r="B224" s="6" t="s">
        <v>134</v>
      </c>
      <c r="C224" s="6" t="n">
        <v>41</v>
      </c>
      <c r="D224" s="6" t="n">
        <v>29</v>
      </c>
      <c r="E224" s="6" t="n">
        <v>27</v>
      </c>
      <c r="F224" s="6" t="n">
        <v>21</v>
      </c>
      <c r="G224" s="6" t="n">
        <v>33</v>
      </c>
      <c r="H224" s="6" t="n">
        <v>19</v>
      </c>
    </row>
    <row r="225" customFormat="false" ht="15" hidden="false" customHeight="false" outlineLevel="0" collapsed="false">
      <c r="A225" s="6" t="s">
        <v>125</v>
      </c>
      <c r="B225" s="6" t="s">
        <v>134</v>
      </c>
      <c r="C225" s="6" t="n">
        <v>22</v>
      </c>
      <c r="D225" s="6" t="n">
        <v>51</v>
      </c>
      <c r="E225" s="6" t="n">
        <v>17</v>
      </c>
      <c r="F225" s="6" t="n">
        <v>23</v>
      </c>
      <c r="G225" s="6" t="n">
        <v>54</v>
      </c>
      <c r="H225" s="6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7"/>
  </cols>
  <sheetData>
    <row r="1" customFormat="false" ht="15" hidden="false" customHeight="true" outlineLevel="0" collapsed="false">
      <c r="A1" s="5" t="s">
        <v>135</v>
      </c>
      <c r="B1" s="5" t="s">
        <v>26</v>
      </c>
      <c r="C1" s="5" t="s">
        <v>68</v>
      </c>
      <c r="D1" s="5" t="s">
        <v>110</v>
      </c>
      <c r="E1" s="5" t="s">
        <v>125</v>
      </c>
      <c r="F1" s="5" t="s">
        <v>126</v>
      </c>
    </row>
    <row r="2" customFormat="false" ht="15" hidden="false" customHeight="true" outlineLevel="0" collapsed="false">
      <c r="A2" s="1" t="n">
        <v>1</v>
      </c>
      <c r="B2" s="1" t="n">
        <f aca="false">SUMPRODUCT((Draws!$A$2:$A$225=B$1)*(Draws!$C$2:$H$225=$A2))</f>
        <v>5</v>
      </c>
      <c r="C2" s="1" t="n">
        <f aca="false">SUMPRODUCT((Draws!$A$2:$A$225=C$1)*(Draws!$C$2:$H$225=$A2))</f>
        <v>4</v>
      </c>
      <c r="D2" s="1" t="n">
        <f aca="false">SUMPRODUCT((Draws!$A$2:$A$225=D$1)*(Draws!$C$2:$H$225=$A2))</f>
        <v>4</v>
      </c>
      <c r="E2" s="1" t="n">
        <f aca="false">SUMPRODUCT((Draws!$A$2:$A$225=E$1)*(Draws!$C$2:$H$225=$A2))</f>
        <v>3</v>
      </c>
      <c r="F2" s="1" t="n">
        <f aca="false">SUMPRODUCT((Draws!$A$2:$A$225=F$1)*(Draws!$C$2:$H$225=$A2))</f>
        <v>4</v>
      </c>
    </row>
    <row r="3" customFormat="false" ht="15" hidden="false" customHeight="true" outlineLevel="0" collapsed="false">
      <c r="A3" s="1" t="n">
        <v>2</v>
      </c>
      <c r="B3" s="1" t="n">
        <f aca="false">SUMPRODUCT((Draws!$A$2:$A$225=B$1)*(Draws!$C$2:$H$225=$A3))</f>
        <v>6</v>
      </c>
      <c r="C3" s="1" t="n">
        <f aca="false">SUMPRODUCT((Draws!$A$2:$A$225=C$1)*(Draws!$C$2:$H$225=$A3))</f>
        <v>3</v>
      </c>
      <c r="D3" s="1" t="n">
        <f aca="false">SUMPRODUCT((Draws!$A$2:$A$225=D$1)*(Draws!$C$2:$H$225=$A3))</f>
        <v>6</v>
      </c>
      <c r="E3" s="1" t="n">
        <f aca="false">SUMPRODUCT((Draws!$A$2:$A$225=E$1)*(Draws!$C$2:$H$225=$A3))</f>
        <v>6</v>
      </c>
      <c r="F3" s="1" t="n">
        <f aca="false">SUMPRODUCT((Draws!$A$2:$A$225=F$1)*(Draws!$C$2:$H$225=$A3))</f>
        <v>5</v>
      </c>
    </row>
    <row r="4" customFormat="false" ht="15" hidden="false" customHeight="true" outlineLevel="0" collapsed="false">
      <c r="A4" s="1" t="n">
        <v>3</v>
      </c>
      <c r="B4" s="1" t="n">
        <f aca="false">SUMPRODUCT((Draws!$A$2:$A$225=B$1)*(Draws!$C$2:$H$225=$A4))</f>
        <v>12</v>
      </c>
      <c r="C4" s="1" t="n">
        <f aca="false">SUMPRODUCT((Draws!$A$2:$A$225=C$1)*(Draws!$C$2:$H$225=$A4))</f>
        <v>6</v>
      </c>
      <c r="D4" s="1" t="n">
        <f aca="false">SUMPRODUCT((Draws!$A$2:$A$225=D$1)*(Draws!$C$2:$H$225=$A4))</f>
        <v>6</v>
      </c>
      <c r="E4" s="1" t="n">
        <f aca="false">SUMPRODUCT((Draws!$A$2:$A$225=E$1)*(Draws!$C$2:$H$225=$A4))</f>
        <v>3</v>
      </c>
      <c r="F4" s="1" t="n">
        <f aca="false">SUMPRODUCT((Draws!$A$2:$A$225=F$1)*(Draws!$C$2:$H$225=$A4))</f>
        <v>3</v>
      </c>
    </row>
    <row r="5" customFormat="false" ht="15" hidden="false" customHeight="true" outlineLevel="0" collapsed="false">
      <c r="A5" s="1" t="n">
        <v>4</v>
      </c>
      <c r="B5" s="1" t="n">
        <f aca="false">SUMPRODUCT((Draws!$A$2:$A$225=B$1)*(Draws!$C$2:$H$225=$A5))</f>
        <v>4</v>
      </c>
      <c r="C5" s="1" t="n">
        <f aca="false">SUMPRODUCT((Draws!$A$2:$A$225=C$1)*(Draws!$C$2:$H$225=$A5))</f>
        <v>10</v>
      </c>
      <c r="D5" s="1" t="n">
        <f aca="false">SUMPRODUCT((Draws!$A$2:$A$225=D$1)*(Draws!$C$2:$H$225=$A5))</f>
        <v>9</v>
      </c>
      <c r="E5" s="1" t="n">
        <f aca="false">SUMPRODUCT((Draws!$A$2:$A$225=E$1)*(Draws!$C$2:$H$225=$A5))</f>
        <v>4</v>
      </c>
      <c r="F5" s="1" t="n">
        <f aca="false">SUMPRODUCT((Draws!$A$2:$A$225=F$1)*(Draws!$C$2:$H$225=$A5))</f>
        <v>3</v>
      </c>
    </row>
    <row r="6" customFormat="false" ht="15" hidden="false" customHeight="true" outlineLevel="0" collapsed="false">
      <c r="A6" s="1" t="n">
        <v>5</v>
      </c>
      <c r="B6" s="1" t="n">
        <f aca="false">SUMPRODUCT((Draws!$A$2:$A$225=B$1)*(Draws!$C$2:$H$225=$A6))</f>
        <v>7</v>
      </c>
      <c r="C6" s="1" t="n">
        <f aca="false">SUMPRODUCT((Draws!$A$2:$A$225=C$1)*(Draws!$C$2:$H$225=$A6))</f>
        <v>8</v>
      </c>
      <c r="D6" s="1" t="n">
        <f aca="false">SUMPRODUCT((Draws!$A$2:$A$225=D$1)*(Draws!$C$2:$H$225=$A6))</f>
        <v>3</v>
      </c>
      <c r="E6" s="1" t="n">
        <f aca="false">SUMPRODUCT((Draws!$A$2:$A$225=E$1)*(Draws!$C$2:$H$225=$A6))</f>
        <v>6</v>
      </c>
      <c r="F6" s="1" t="n">
        <f aca="false">SUMPRODUCT((Draws!$A$2:$A$225=F$1)*(Draws!$C$2:$H$225=$A6))</f>
        <v>5</v>
      </c>
    </row>
    <row r="7" customFormat="false" ht="15" hidden="false" customHeight="true" outlineLevel="0" collapsed="false">
      <c r="A7" s="1" t="n">
        <v>6</v>
      </c>
      <c r="B7" s="1" t="n">
        <f aca="false">SUMPRODUCT((Draws!$A$2:$A$225=B$1)*(Draws!$C$2:$H$225=$A7))</f>
        <v>6</v>
      </c>
      <c r="C7" s="1" t="n">
        <f aca="false">SUMPRODUCT((Draws!$A$2:$A$225=C$1)*(Draws!$C$2:$H$225=$A7))</f>
        <v>3</v>
      </c>
      <c r="D7" s="1" t="n">
        <f aca="false">SUMPRODUCT((Draws!$A$2:$A$225=D$1)*(Draws!$C$2:$H$225=$A7))</f>
        <v>6</v>
      </c>
      <c r="E7" s="1" t="n">
        <f aca="false">SUMPRODUCT((Draws!$A$2:$A$225=E$1)*(Draws!$C$2:$H$225=$A7))</f>
        <v>2</v>
      </c>
      <c r="F7" s="1" t="n">
        <f aca="false">SUMPRODUCT((Draws!$A$2:$A$225=F$1)*(Draws!$C$2:$H$225=$A7))</f>
        <v>3</v>
      </c>
    </row>
    <row r="8" customFormat="false" ht="15" hidden="false" customHeight="true" outlineLevel="0" collapsed="false">
      <c r="A8" s="1" t="n">
        <v>7</v>
      </c>
      <c r="B8" s="1" t="n">
        <f aca="false">SUMPRODUCT((Draws!$A$2:$A$225=B$1)*(Draws!$C$2:$H$225=$A8))</f>
        <v>9</v>
      </c>
      <c r="C8" s="1" t="n">
        <f aca="false">SUMPRODUCT((Draws!$A$2:$A$225=C$1)*(Draws!$C$2:$H$225=$A8))</f>
        <v>3</v>
      </c>
      <c r="D8" s="1" t="n">
        <f aca="false">SUMPRODUCT((Draws!$A$2:$A$225=D$1)*(Draws!$C$2:$H$225=$A8))</f>
        <v>3</v>
      </c>
      <c r="E8" s="1" t="n">
        <f aca="false">SUMPRODUCT((Draws!$A$2:$A$225=E$1)*(Draws!$C$2:$H$225=$A8))</f>
        <v>2</v>
      </c>
      <c r="F8" s="1" t="n">
        <f aca="false">SUMPRODUCT((Draws!$A$2:$A$225=F$1)*(Draws!$C$2:$H$225=$A8))</f>
        <v>3</v>
      </c>
    </row>
    <row r="9" customFormat="false" ht="15" hidden="false" customHeight="true" outlineLevel="0" collapsed="false">
      <c r="A9" s="1" t="n">
        <v>8</v>
      </c>
      <c r="B9" s="1" t="n">
        <f aca="false">SUMPRODUCT((Draws!$A$2:$A$225=B$1)*(Draws!$C$2:$H$225=$A9))</f>
        <v>5</v>
      </c>
      <c r="C9" s="1" t="n">
        <f aca="false">SUMPRODUCT((Draws!$A$2:$A$225=C$1)*(Draws!$C$2:$H$225=$A9))</f>
        <v>8</v>
      </c>
      <c r="D9" s="1" t="n">
        <f aca="false">SUMPRODUCT((Draws!$A$2:$A$225=D$1)*(Draws!$C$2:$H$225=$A9))</f>
        <v>7</v>
      </c>
      <c r="E9" s="1" t="n">
        <f aca="false">SUMPRODUCT((Draws!$A$2:$A$225=E$1)*(Draws!$C$2:$H$225=$A9))</f>
        <v>4</v>
      </c>
      <c r="F9" s="1" t="n">
        <f aca="false">SUMPRODUCT((Draws!$A$2:$A$225=F$1)*(Draws!$C$2:$H$225=$A9))</f>
        <v>7</v>
      </c>
    </row>
    <row r="10" customFormat="false" ht="15" hidden="false" customHeight="true" outlineLevel="0" collapsed="false">
      <c r="A10" s="1" t="n">
        <v>9</v>
      </c>
      <c r="B10" s="1" t="n">
        <f aca="false">SUMPRODUCT((Draws!$A$2:$A$225=B$1)*(Draws!$C$2:$H$225=$A10))</f>
        <v>5</v>
      </c>
      <c r="C10" s="1" t="n">
        <f aca="false">SUMPRODUCT((Draws!$A$2:$A$225=C$1)*(Draws!$C$2:$H$225=$A10))</f>
        <v>6</v>
      </c>
      <c r="D10" s="1" t="n">
        <f aca="false">SUMPRODUCT((Draws!$A$2:$A$225=D$1)*(Draws!$C$2:$H$225=$A10))</f>
        <v>8</v>
      </c>
      <c r="E10" s="1" t="n">
        <f aca="false">SUMPRODUCT((Draws!$A$2:$A$225=E$1)*(Draws!$C$2:$H$225=$A10))</f>
        <v>7</v>
      </c>
      <c r="F10" s="1" t="n">
        <f aca="false">SUMPRODUCT((Draws!$A$2:$A$225=F$1)*(Draws!$C$2:$H$225=$A10))</f>
        <v>8</v>
      </c>
    </row>
    <row r="11" customFormat="false" ht="15" hidden="false" customHeight="true" outlineLevel="0" collapsed="false">
      <c r="A11" s="1" t="n">
        <v>10</v>
      </c>
      <c r="B11" s="1" t="n">
        <f aca="false">SUMPRODUCT((Draws!$A$2:$A$225=B$1)*(Draws!$C$2:$H$225=$A11))</f>
        <v>6</v>
      </c>
      <c r="C11" s="1" t="n">
        <f aca="false">SUMPRODUCT((Draws!$A$2:$A$225=C$1)*(Draws!$C$2:$H$225=$A11))</f>
        <v>9</v>
      </c>
      <c r="D11" s="1" t="n">
        <f aca="false">SUMPRODUCT((Draws!$A$2:$A$225=D$1)*(Draws!$C$2:$H$225=$A11))</f>
        <v>5</v>
      </c>
      <c r="E11" s="1" t="n">
        <f aca="false">SUMPRODUCT((Draws!$A$2:$A$225=E$1)*(Draws!$C$2:$H$225=$A11))</f>
        <v>6</v>
      </c>
      <c r="F11" s="1" t="n">
        <f aca="false">SUMPRODUCT((Draws!$A$2:$A$225=F$1)*(Draws!$C$2:$H$225=$A11))</f>
        <v>2</v>
      </c>
    </row>
    <row r="12" customFormat="false" ht="15" hidden="false" customHeight="true" outlineLevel="0" collapsed="false">
      <c r="A12" s="1" t="n">
        <v>11</v>
      </c>
      <c r="B12" s="1" t="n">
        <f aca="false">SUMPRODUCT((Draws!$A$2:$A$225=B$1)*(Draws!$C$2:$H$225=$A12))</f>
        <v>6</v>
      </c>
      <c r="C12" s="1" t="n">
        <f aca="false">SUMPRODUCT((Draws!$A$2:$A$225=C$1)*(Draws!$C$2:$H$225=$A12))</f>
        <v>7</v>
      </c>
      <c r="D12" s="1" t="n">
        <f aca="false">SUMPRODUCT((Draws!$A$2:$A$225=D$1)*(Draws!$C$2:$H$225=$A12))</f>
        <v>7</v>
      </c>
      <c r="E12" s="1" t="n">
        <f aca="false">SUMPRODUCT((Draws!$A$2:$A$225=E$1)*(Draws!$C$2:$H$225=$A12))</f>
        <v>2</v>
      </c>
      <c r="F12" s="1" t="n">
        <f aca="false">SUMPRODUCT((Draws!$A$2:$A$225=F$1)*(Draws!$C$2:$H$225=$A12))</f>
        <v>4</v>
      </c>
    </row>
    <row r="13" customFormat="false" ht="15" hidden="false" customHeight="true" outlineLevel="0" collapsed="false">
      <c r="A13" s="1" t="n">
        <v>12</v>
      </c>
      <c r="B13" s="1" t="n">
        <f aca="false">SUMPRODUCT((Draws!$A$2:$A$225=B$1)*(Draws!$C$2:$H$225=$A13))</f>
        <v>10</v>
      </c>
      <c r="C13" s="1" t="n">
        <f aca="false">SUMPRODUCT((Draws!$A$2:$A$225=C$1)*(Draws!$C$2:$H$225=$A13))</f>
        <v>6</v>
      </c>
      <c r="D13" s="1" t="n">
        <f aca="false">SUMPRODUCT((Draws!$A$2:$A$225=D$1)*(Draws!$C$2:$H$225=$A13))</f>
        <v>3</v>
      </c>
      <c r="E13" s="1" t="n">
        <f aca="false">SUMPRODUCT((Draws!$A$2:$A$225=E$1)*(Draws!$C$2:$H$225=$A13))</f>
        <v>3</v>
      </c>
      <c r="F13" s="1" t="n">
        <f aca="false">SUMPRODUCT((Draws!$A$2:$A$225=F$1)*(Draws!$C$2:$H$225=$A13))</f>
        <v>6</v>
      </c>
    </row>
    <row r="14" customFormat="false" ht="15" hidden="false" customHeight="true" outlineLevel="0" collapsed="false">
      <c r="A14" s="1" t="n">
        <v>13</v>
      </c>
      <c r="B14" s="1" t="n">
        <f aca="false">SUMPRODUCT((Draws!$A$2:$A$225=B$1)*(Draws!$C$2:$H$225=$A14))</f>
        <v>9</v>
      </c>
      <c r="C14" s="1" t="n">
        <f aca="false">SUMPRODUCT((Draws!$A$2:$A$225=C$1)*(Draws!$C$2:$H$225=$A14))</f>
        <v>5</v>
      </c>
      <c r="D14" s="1" t="n">
        <f aca="false">SUMPRODUCT((Draws!$A$2:$A$225=D$1)*(Draws!$C$2:$H$225=$A14))</f>
        <v>5</v>
      </c>
      <c r="E14" s="1" t="n">
        <f aca="false">SUMPRODUCT((Draws!$A$2:$A$225=E$1)*(Draws!$C$2:$H$225=$A14))</f>
        <v>3</v>
      </c>
      <c r="F14" s="1" t="n">
        <f aca="false">SUMPRODUCT((Draws!$A$2:$A$225=F$1)*(Draws!$C$2:$H$225=$A14))</f>
        <v>2</v>
      </c>
    </row>
    <row r="15" customFormat="false" ht="15" hidden="false" customHeight="true" outlineLevel="0" collapsed="false">
      <c r="A15" s="1" t="n">
        <v>14</v>
      </c>
      <c r="B15" s="1" t="n">
        <f aca="false">SUMPRODUCT((Draws!$A$2:$A$225=B$1)*(Draws!$C$2:$H$225=$A15))</f>
        <v>3</v>
      </c>
      <c r="C15" s="1" t="n">
        <f aca="false">SUMPRODUCT((Draws!$A$2:$A$225=C$1)*(Draws!$C$2:$H$225=$A15))</f>
        <v>6</v>
      </c>
      <c r="D15" s="1" t="n">
        <f aca="false">SUMPRODUCT((Draws!$A$2:$A$225=D$1)*(Draws!$C$2:$H$225=$A15))</f>
        <v>8</v>
      </c>
      <c r="E15" s="1" t="n">
        <f aca="false">SUMPRODUCT((Draws!$A$2:$A$225=E$1)*(Draws!$C$2:$H$225=$A15))</f>
        <v>1</v>
      </c>
      <c r="F15" s="1" t="n">
        <f aca="false">SUMPRODUCT((Draws!$A$2:$A$225=F$1)*(Draws!$C$2:$H$225=$A15))</f>
        <v>5</v>
      </c>
    </row>
    <row r="16" customFormat="false" ht="15" hidden="false" customHeight="true" outlineLevel="0" collapsed="false">
      <c r="A16" s="1" t="n">
        <v>15</v>
      </c>
      <c r="B16" s="1" t="n">
        <f aca="false">SUMPRODUCT((Draws!$A$2:$A$225=B$1)*(Draws!$C$2:$H$225=$A16))</f>
        <v>6</v>
      </c>
      <c r="C16" s="1" t="n">
        <f aca="false">SUMPRODUCT((Draws!$A$2:$A$225=C$1)*(Draws!$C$2:$H$225=$A16))</f>
        <v>7</v>
      </c>
      <c r="D16" s="1" t="n">
        <f aca="false">SUMPRODUCT((Draws!$A$2:$A$225=D$1)*(Draws!$C$2:$H$225=$A16))</f>
        <v>3</v>
      </c>
      <c r="E16" s="1" t="n">
        <f aca="false">SUMPRODUCT((Draws!$A$2:$A$225=E$1)*(Draws!$C$2:$H$225=$A16))</f>
        <v>5</v>
      </c>
      <c r="F16" s="1" t="n">
        <f aca="false">SUMPRODUCT((Draws!$A$2:$A$225=F$1)*(Draws!$C$2:$H$225=$A16))</f>
        <v>6</v>
      </c>
    </row>
    <row r="17" customFormat="false" ht="15" hidden="false" customHeight="true" outlineLevel="0" collapsed="false">
      <c r="A17" s="1" t="n">
        <v>16</v>
      </c>
      <c r="B17" s="1" t="n">
        <f aca="false">SUMPRODUCT((Draws!$A$2:$A$225=B$1)*(Draws!$C$2:$H$225=$A17))</f>
        <v>7</v>
      </c>
      <c r="C17" s="1" t="n">
        <f aca="false">SUMPRODUCT((Draws!$A$2:$A$225=C$1)*(Draws!$C$2:$H$225=$A17))</f>
        <v>5</v>
      </c>
      <c r="D17" s="1" t="n">
        <f aca="false">SUMPRODUCT((Draws!$A$2:$A$225=D$1)*(Draws!$C$2:$H$225=$A17))</f>
        <v>9</v>
      </c>
      <c r="E17" s="1" t="n">
        <f aca="false">SUMPRODUCT((Draws!$A$2:$A$225=E$1)*(Draws!$C$2:$H$225=$A17))</f>
        <v>2</v>
      </c>
      <c r="F17" s="1" t="n">
        <f aca="false">SUMPRODUCT((Draws!$A$2:$A$225=F$1)*(Draws!$C$2:$H$225=$A17))</f>
        <v>8</v>
      </c>
    </row>
    <row r="18" customFormat="false" ht="15" hidden="false" customHeight="true" outlineLevel="0" collapsed="false">
      <c r="A18" s="1" t="n">
        <v>17</v>
      </c>
      <c r="B18" s="1" t="n">
        <f aca="false">SUMPRODUCT((Draws!$A$2:$A$225=B$1)*(Draws!$C$2:$H$225=$A18))</f>
        <v>9</v>
      </c>
      <c r="C18" s="1" t="n">
        <f aca="false">SUMPRODUCT((Draws!$A$2:$A$225=C$1)*(Draws!$C$2:$H$225=$A18))</f>
        <v>5</v>
      </c>
      <c r="D18" s="1" t="n">
        <f aca="false">SUMPRODUCT((Draws!$A$2:$A$225=D$1)*(Draws!$C$2:$H$225=$A18))</f>
        <v>5</v>
      </c>
      <c r="E18" s="1" t="n">
        <f aca="false">SUMPRODUCT((Draws!$A$2:$A$225=E$1)*(Draws!$C$2:$H$225=$A18))</f>
        <v>7</v>
      </c>
      <c r="F18" s="1" t="n">
        <f aca="false">SUMPRODUCT((Draws!$A$2:$A$225=F$1)*(Draws!$C$2:$H$225=$A18))</f>
        <v>5</v>
      </c>
    </row>
    <row r="19" customFormat="false" ht="15" hidden="false" customHeight="true" outlineLevel="0" collapsed="false">
      <c r="A19" s="1" t="n">
        <v>18</v>
      </c>
      <c r="B19" s="1" t="n">
        <f aca="false">SUMPRODUCT((Draws!$A$2:$A$225=B$1)*(Draws!$C$2:$H$225=$A19))</f>
        <v>7</v>
      </c>
      <c r="C19" s="1" t="n">
        <f aca="false">SUMPRODUCT((Draws!$A$2:$A$225=C$1)*(Draws!$C$2:$H$225=$A19))</f>
        <v>7</v>
      </c>
      <c r="D19" s="1" t="n">
        <f aca="false">SUMPRODUCT((Draws!$A$2:$A$225=D$1)*(Draws!$C$2:$H$225=$A19))</f>
        <v>6</v>
      </c>
      <c r="E19" s="1" t="n">
        <f aca="false">SUMPRODUCT((Draws!$A$2:$A$225=E$1)*(Draws!$C$2:$H$225=$A19))</f>
        <v>4</v>
      </c>
      <c r="F19" s="1" t="n">
        <f aca="false">SUMPRODUCT((Draws!$A$2:$A$225=F$1)*(Draws!$C$2:$H$225=$A19))</f>
        <v>1</v>
      </c>
    </row>
    <row r="20" customFormat="false" ht="15" hidden="false" customHeight="true" outlineLevel="0" collapsed="false">
      <c r="A20" s="1" t="n">
        <v>19</v>
      </c>
      <c r="B20" s="1" t="n">
        <f aca="false">SUMPRODUCT((Draws!$A$2:$A$225=B$1)*(Draws!$C$2:$H$225=$A20))</f>
        <v>3</v>
      </c>
      <c r="C20" s="1" t="n">
        <f aca="false">SUMPRODUCT((Draws!$A$2:$A$225=C$1)*(Draws!$C$2:$H$225=$A20))</f>
        <v>10</v>
      </c>
      <c r="D20" s="1" t="n">
        <f aca="false">SUMPRODUCT((Draws!$A$2:$A$225=D$1)*(Draws!$C$2:$H$225=$A20))</f>
        <v>5</v>
      </c>
      <c r="E20" s="1" t="n">
        <f aca="false">SUMPRODUCT((Draws!$A$2:$A$225=E$1)*(Draws!$C$2:$H$225=$A20))</f>
        <v>10</v>
      </c>
      <c r="F20" s="1" t="n">
        <f aca="false">SUMPRODUCT((Draws!$A$2:$A$225=F$1)*(Draws!$C$2:$H$225=$A20))</f>
        <v>3</v>
      </c>
    </row>
    <row r="21" customFormat="false" ht="15" hidden="false" customHeight="true" outlineLevel="0" collapsed="false">
      <c r="A21" s="1" t="n">
        <v>20</v>
      </c>
      <c r="B21" s="1" t="n">
        <f aca="false">SUMPRODUCT((Draws!$A$2:$A$225=B$1)*(Draws!$C$2:$H$225=$A21))</f>
        <v>4</v>
      </c>
      <c r="C21" s="1" t="n">
        <f aca="false">SUMPRODUCT((Draws!$A$2:$A$225=C$1)*(Draws!$C$2:$H$225=$A21))</f>
        <v>4</v>
      </c>
      <c r="D21" s="1" t="n">
        <f aca="false">SUMPRODUCT((Draws!$A$2:$A$225=D$1)*(Draws!$C$2:$H$225=$A21))</f>
        <v>4</v>
      </c>
      <c r="E21" s="1" t="n">
        <f aca="false">SUMPRODUCT((Draws!$A$2:$A$225=E$1)*(Draws!$C$2:$H$225=$A21))</f>
        <v>4</v>
      </c>
      <c r="F21" s="1" t="n">
        <f aca="false">SUMPRODUCT((Draws!$A$2:$A$225=F$1)*(Draws!$C$2:$H$225=$A21))</f>
        <v>11</v>
      </c>
    </row>
    <row r="22" customFormat="false" ht="15" hidden="false" customHeight="true" outlineLevel="0" collapsed="false">
      <c r="A22" s="1" t="n">
        <v>21</v>
      </c>
      <c r="B22" s="1" t="n">
        <f aca="false">SUMPRODUCT((Draws!$A$2:$A$225=B$1)*(Draws!$C$2:$H$225=$A22))</f>
        <v>3</v>
      </c>
      <c r="C22" s="1" t="n">
        <f aca="false">SUMPRODUCT((Draws!$A$2:$A$225=C$1)*(Draws!$C$2:$H$225=$A22))</f>
        <v>6</v>
      </c>
      <c r="D22" s="1" t="n">
        <f aca="false">SUMPRODUCT((Draws!$A$2:$A$225=D$1)*(Draws!$C$2:$H$225=$A22))</f>
        <v>7</v>
      </c>
      <c r="E22" s="1" t="n">
        <f aca="false">SUMPRODUCT((Draws!$A$2:$A$225=E$1)*(Draws!$C$2:$H$225=$A22))</f>
        <v>5</v>
      </c>
      <c r="F22" s="1" t="n">
        <f aca="false">SUMPRODUCT((Draws!$A$2:$A$225=F$1)*(Draws!$C$2:$H$225=$A22))</f>
        <v>6</v>
      </c>
    </row>
    <row r="23" customFormat="false" ht="15" hidden="false" customHeight="true" outlineLevel="0" collapsed="false">
      <c r="A23" s="1" t="n">
        <v>22</v>
      </c>
      <c r="B23" s="1" t="n">
        <f aca="false">SUMPRODUCT((Draws!$A$2:$A$225=B$1)*(Draws!$C$2:$H$225=$A23))</f>
        <v>6</v>
      </c>
      <c r="C23" s="1" t="n">
        <f aca="false">SUMPRODUCT((Draws!$A$2:$A$225=C$1)*(Draws!$C$2:$H$225=$A23))</f>
        <v>4</v>
      </c>
      <c r="D23" s="1" t="n">
        <f aca="false">SUMPRODUCT((Draws!$A$2:$A$225=D$1)*(Draws!$C$2:$H$225=$A23))</f>
        <v>5</v>
      </c>
      <c r="E23" s="1" t="n">
        <f aca="false">SUMPRODUCT((Draws!$A$2:$A$225=E$1)*(Draws!$C$2:$H$225=$A23))</f>
        <v>6</v>
      </c>
      <c r="F23" s="1" t="n">
        <f aca="false">SUMPRODUCT((Draws!$A$2:$A$225=F$1)*(Draws!$C$2:$H$225=$A23))</f>
        <v>4</v>
      </c>
    </row>
    <row r="24" customFormat="false" ht="15" hidden="false" customHeight="true" outlineLevel="0" collapsed="false">
      <c r="A24" s="1" t="n">
        <v>23</v>
      </c>
      <c r="B24" s="1" t="n">
        <f aca="false">SUMPRODUCT((Draws!$A$2:$A$225=B$1)*(Draws!$C$2:$H$225=$A24))</f>
        <v>8</v>
      </c>
      <c r="C24" s="1" t="n">
        <f aca="false">SUMPRODUCT((Draws!$A$2:$A$225=C$1)*(Draws!$C$2:$H$225=$A24))</f>
        <v>9</v>
      </c>
      <c r="D24" s="1" t="n">
        <f aca="false">SUMPRODUCT((Draws!$A$2:$A$225=D$1)*(Draws!$C$2:$H$225=$A24))</f>
        <v>5</v>
      </c>
      <c r="E24" s="1" t="n">
        <f aca="false">SUMPRODUCT((Draws!$A$2:$A$225=E$1)*(Draws!$C$2:$H$225=$A24))</f>
        <v>5</v>
      </c>
      <c r="F24" s="1" t="n">
        <f aca="false">SUMPRODUCT((Draws!$A$2:$A$225=F$1)*(Draws!$C$2:$H$225=$A24))</f>
        <v>2</v>
      </c>
    </row>
    <row r="25" customFormat="false" ht="15" hidden="false" customHeight="true" outlineLevel="0" collapsed="false">
      <c r="A25" s="1" t="n">
        <v>24</v>
      </c>
      <c r="B25" s="1" t="n">
        <f aca="false">SUMPRODUCT((Draws!$A$2:$A$225=B$1)*(Draws!$C$2:$H$225=$A25))</f>
        <v>5</v>
      </c>
      <c r="C25" s="1" t="n">
        <f aca="false">SUMPRODUCT((Draws!$A$2:$A$225=C$1)*(Draws!$C$2:$H$225=$A25))</f>
        <v>8</v>
      </c>
      <c r="D25" s="1" t="n">
        <f aca="false">SUMPRODUCT((Draws!$A$2:$A$225=D$1)*(Draws!$C$2:$H$225=$A25))</f>
        <v>9</v>
      </c>
      <c r="E25" s="1" t="n">
        <f aca="false">SUMPRODUCT((Draws!$A$2:$A$225=E$1)*(Draws!$C$2:$H$225=$A25))</f>
        <v>9</v>
      </c>
      <c r="F25" s="1" t="n">
        <f aca="false">SUMPRODUCT((Draws!$A$2:$A$225=F$1)*(Draws!$C$2:$H$225=$A25))</f>
        <v>2</v>
      </c>
    </row>
    <row r="26" customFormat="false" ht="15" hidden="false" customHeight="true" outlineLevel="0" collapsed="false">
      <c r="A26" s="1" t="n">
        <v>25</v>
      </c>
      <c r="B26" s="1" t="n">
        <f aca="false">SUMPRODUCT((Draws!$A$2:$A$225=B$1)*(Draws!$C$2:$H$225=$A26))</f>
        <v>6</v>
      </c>
      <c r="C26" s="1" t="n">
        <f aca="false">SUMPRODUCT((Draws!$A$2:$A$225=C$1)*(Draws!$C$2:$H$225=$A26))</f>
        <v>3</v>
      </c>
      <c r="D26" s="1" t="n">
        <f aca="false">SUMPRODUCT((Draws!$A$2:$A$225=D$1)*(Draws!$C$2:$H$225=$A26))</f>
        <v>7</v>
      </c>
      <c r="E26" s="1" t="n">
        <f aca="false">SUMPRODUCT((Draws!$A$2:$A$225=E$1)*(Draws!$C$2:$H$225=$A26))</f>
        <v>3</v>
      </c>
      <c r="F26" s="1" t="n">
        <f aca="false">SUMPRODUCT((Draws!$A$2:$A$225=F$1)*(Draws!$C$2:$H$225=$A26))</f>
        <v>4</v>
      </c>
    </row>
    <row r="27" customFormat="false" ht="15" hidden="false" customHeight="true" outlineLevel="0" collapsed="false">
      <c r="A27" s="1" t="n">
        <v>26</v>
      </c>
      <c r="B27" s="1" t="n">
        <f aca="false">SUMPRODUCT((Draws!$A$2:$A$225=B$1)*(Draws!$C$2:$H$225=$A27))</f>
        <v>3</v>
      </c>
      <c r="C27" s="1" t="n">
        <f aca="false">SUMPRODUCT((Draws!$A$2:$A$225=C$1)*(Draws!$C$2:$H$225=$A27))</f>
        <v>2</v>
      </c>
      <c r="D27" s="1" t="n">
        <f aca="false">SUMPRODUCT((Draws!$A$2:$A$225=D$1)*(Draws!$C$2:$H$225=$A27))</f>
        <v>3</v>
      </c>
      <c r="E27" s="1" t="n">
        <f aca="false">SUMPRODUCT((Draws!$A$2:$A$225=E$1)*(Draws!$C$2:$H$225=$A27))</f>
        <v>4</v>
      </c>
      <c r="F27" s="1" t="n">
        <f aca="false">SUMPRODUCT((Draws!$A$2:$A$225=F$1)*(Draws!$C$2:$H$225=$A27))</f>
        <v>6</v>
      </c>
    </row>
    <row r="28" customFormat="false" ht="15" hidden="false" customHeight="true" outlineLevel="0" collapsed="false">
      <c r="A28" s="1" t="n">
        <v>27</v>
      </c>
      <c r="B28" s="1" t="n">
        <f aca="false">SUMPRODUCT((Draws!$A$2:$A$225=B$1)*(Draws!$C$2:$H$225=$A28))</f>
        <v>4</v>
      </c>
      <c r="C28" s="1" t="n">
        <f aca="false">SUMPRODUCT((Draws!$A$2:$A$225=C$1)*(Draws!$C$2:$H$225=$A28))</f>
        <v>13</v>
      </c>
      <c r="D28" s="1" t="n">
        <f aca="false">SUMPRODUCT((Draws!$A$2:$A$225=D$1)*(Draws!$C$2:$H$225=$A28))</f>
        <v>9</v>
      </c>
      <c r="E28" s="1" t="n">
        <f aca="false">SUMPRODUCT((Draws!$A$2:$A$225=E$1)*(Draws!$C$2:$H$225=$A28))</f>
        <v>4</v>
      </c>
      <c r="F28" s="1" t="n">
        <f aca="false">SUMPRODUCT((Draws!$A$2:$A$225=F$1)*(Draws!$C$2:$H$225=$A28))</f>
        <v>3</v>
      </c>
    </row>
    <row r="29" customFormat="false" ht="15" hidden="false" customHeight="true" outlineLevel="0" collapsed="false">
      <c r="A29" s="1" t="n">
        <v>28</v>
      </c>
      <c r="B29" s="1" t="n">
        <f aca="false">SUMPRODUCT((Draws!$A$2:$A$225=B$1)*(Draws!$C$2:$H$225=$A29))</f>
        <v>5</v>
      </c>
      <c r="C29" s="1" t="n">
        <f aca="false">SUMPRODUCT((Draws!$A$2:$A$225=C$1)*(Draws!$C$2:$H$225=$A29))</f>
        <v>8</v>
      </c>
      <c r="D29" s="1" t="n">
        <f aca="false">SUMPRODUCT((Draws!$A$2:$A$225=D$1)*(Draws!$C$2:$H$225=$A29))</f>
        <v>5</v>
      </c>
      <c r="E29" s="1" t="n">
        <f aca="false">SUMPRODUCT((Draws!$A$2:$A$225=E$1)*(Draws!$C$2:$H$225=$A29))</f>
        <v>2</v>
      </c>
      <c r="F29" s="1" t="n">
        <f aca="false">SUMPRODUCT((Draws!$A$2:$A$225=F$1)*(Draws!$C$2:$H$225=$A29))</f>
        <v>4</v>
      </c>
    </row>
    <row r="30" customFormat="false" ht="15" hidden="false" customHeight="true" outlineLevel="0" collapsed="false">
      <c r="A30" s="1" t="n">
        <v>29</v>
      </c>
      <c r="B30" s="1" t="n">
        <f aca="false">SUMPRODUCT((Draws!$A$2:$A$225=B$1)*(Draws!$C$2:$H$225=$A30))</f>
        <v>8</v>
      </c>
      <c r="C30" s="1" t="n">
        <f aca="false">SUMPRODUCT((Draws!$A$2:$A$225=C$1)*(Draws!$C$2:$H$225=$A30))</f>
        <v>4</v>
      </c>
      <c r="D30" s="1" t="n">
        <f aca="false">SUMPRODUCT((Draws!$A$2:$A$225=D$1)*(Draws!$C$2:$H$225=$A30))</f>
        <v>3</v>
      </c>
      <c r="E30" s="1" t="n">
        <f aca="false">SUMPRODUCT((Draws!$A$2:$A$225=E$1)*(Draws!$C$2:$H$225=$A30))</f>
        <v>6</v>
      </c>
      <c r="F30" s="1" t="n">
        <f aca="false">SUMPRODUCT((Draws!$A$2:$A$225=F$1)*(Draws!$C$2:$H$225=$A30))</f>
        <v>5</v>
      </c>
    </row>
    <row r="31" customFormat="false" ht="15" hidden="false" customHeight="true" outlineLevel="0" collapsed="false">
      <c r="A31" s="1" t="n">
        <v>30</v>
      </c>
      <c r="B31" s="1" t="n">
        <f aca="false">SUMPRODUCT((Draws!$A$2:$A$225=B$1)*(Draws!$C$2:$H$225=$A31))</f>
        <v>5</v>
      </c>
      <c r="C31" s="1" t="n">
        <f aca="false">SUMPRODUCT((Draws!$A$2:$A$225=C$1)*(Draws!$C$2:$H$225=$A31))</f>
        <v>1</v>
      </c>
      <c r="D31" s="1" t="n">
        <f aca="false">SUMPRODUCT((Draws!$A$2:$A$225=D$1)*(Draws!$C$2:$H$225=$A31))</f>
        <v>2</v>
      </c>
      <c r="E31" s="1" t="n">
        <f aca="false">SUMPRODUCT((Draws!$A$2:$A$225=E$1)*(Draws!$C$2:$H$225=$A31))</f>
        <v>2</v>
      </c>
      <c r="F31" s="1" t="n">
        <f aca="false">SUMPRODUCT((Draws!$A$2:$A$225=F$1)*(Draws!$C$2:$H$225=$A31))</f>
        <v>2</v>
      </c>
    </row>
    <row r="32" customFormat="false" ht="15" hidden="false" customHeight="true" outlineLevel="0" collapsed="false">
      <c r="A32" s="1" t="n">
        <v>31</v>
      </c>
      <c r="B32" s="1" t="n">
        <f aca="false">SUMPRODUCT((Draws!$A$2:$A$225=B$1)*(Draws!$C$2:$H$225=$A32))</f>
        <v>5</v>
      </c>
      <c r="C32" s="1" t="n">
        <f aca="false">SUMPRODUCT((Draws!$A$2:$A$225=C$1)*(Draws!$C$2:$H$225=$A32))</f>
        <v>5</v>
      </c>
      <c r="D32" s="1" t="n">
        <f aca="false">SUMPRODUCT((Draws!$A$2:$A$225=D$1)*(Draws!$C$2:$H$225=$A32))</f>
        <v>5</v>
      </c>
      <c r="E32" s="1" t="n">
        <f aca="false">SUMPRODUCT((Draws!$A$2:$A$225=E$1)*(Draws!$C$2:$H$225=$A32))</f>
        <v>3</v>
      </c>
      <c r="F32" s="1" t="n">
        <f aca="false">SUMPRODUCT((Draws!$A$2:$A$225=F$1)*(Draws!$C$2:$H$225=$A32))</f>
        <v>4</v>
      </c>
    </row>
    <row r="33" customFormat="false" ht="15" hidden="false" customHeight="true" outlineLevel="0" collapsed="false">
      <c r="A33" s="1" t="n">
        <v>32</v>
      </c>
      <c r="B33" s="1" t="n">
        <f aca="false">SUMPRODUCT((Draws!$A$2:$A$225=B$1)*(Draws!$C$2:$H$225=$A33))</f>
        <v>4</v>
      </c>
      <c r="C33" s="1" t="n">
        <f aca="false">SUMPRODUCT((Draws!$A$2:$A$225=C$1)*(Draws!$C$2:$H$225=$A33))</f>
        <v>5</v>
      </c>
      <c r="D33" s="1" t="n">
        <f aca="false">SUMPRODUCT((Draws!$A$2:$A$225=D$1)*(Draws!$C$2:$H$225=$A33))</f>
        <v>6</v>
      </c>
      <c r="E33" s="1" t="n">
        <f aca="false">SUMPRODUCT((Draws!$A$2:$A$225=E$1)*(Draws!$C$2:$H$225=$A33))</f>
        <v>7</v>
      </c>
      <c r="F33" s="1" t="n">
        <f aca="false">SUMPRODUCT((Draws!$A$2:$A$225=F$1)*(Draws!$C$2:$H$225=$A33))</f>
        <v>3</v>
      </c>
    </row>
    <row r="34" customFormat="false" ht="15" hidden="false" customHeight="true" outlineLevel="0" collapsed="false">
      <c r="A34" s="1" t="n">
        <v>33</v>
      </c>
      <c r="B34" s="1" t="n">
        <f aca="false">SUMPRODUCT((Draws!$A$2:$A$225=B$1)*(Draws!$C$2:$H$225=$A34))</f>
        <v>6</v>
      </c>
      <c r="C34" s="1" t="n">
        <f aca="false">SUMPRODUCT((Draws!$A$2:$A$225=C$1)*(Draws!$C$2:$H$225=$A34))</f>
        <v>7</v>
      </c>
      <c r="D34" s="1" t="n">
        <f aca="false">SUMPRODUCT((Draws!$A$2:$A$225=D$1)*(Draws!$C$2:$H$225=$A34))</f>
        <v>9</v>
      </c>
      <c r="E34" s="1" t="n">
        <f aca="false">SUMPRODUCT((Draws!$A$2:$A$225=E$1)*(Draws!$C$2:$H$225=$A34))</f>
        <v>7</v>
      </c>
      <c r="F34" s="1" t="n">
        <f aca="false">SUMPRODUCT((Draws!$A$2:$A$225=F$1)*(Draws!$C$2:$H$225=$A34))</f>
        <v>4</v>
      </c>
    </row>
    <row r="35" customFormat="false" ht="15" hidden="false" customHeight="true" outlineLevel="0" collapsed="false">
      <c r="A35" s="1" t="n">
        <v>34</v>
      </c>
      <c r="B35" s="1" t="n">
        <f aca="false">SUMPRODUCT((Draws!$A$2:$A$225=B$1)*(Draws!$C$2:$H$225=$A35))</f>
        <v>6</v>
      </c>
      <c r="C35" s="1" t="n">
        <f aca="false">SUMPRODUCT((Draws!$A$2:$A$225=C$1)*(Draws!$C$2:$H$225=$A35))</f>
        <v>7</v>
      </c>
      <c r="D35" s="1" t="n">
        <f aca="false">SUMPRODUCT((Draws!$A$2:$A$225=D$1)*(Draws!$C$2:$H$225=$A35))</f>
        <v>4</v>
      </c>
      <c r="E35" s="1" t="n">
        <f aca="false">SUMPRODUCT((Draws!$A$2:$A$225=E$1)*(Draws!$C$2:$H$225=$A35))</f>
        <v>3</v>
      </c>
      <c r="F35" s="1" t="n">
        <f aca="false">SUMPRODUCT((Draws!$A$2:$A$225=F$1)*(Draws!$C$2:$H$225=$A35))</f>
        <v>4</v>
      </c>
    </row>
    <row r="36" customFormat="false" ht="15" hidden="false" customHeight="true" outlineLevel="0" collapsed="false">
      <c r="A36" s="1" t="n">
        <v>35</v>
      </c>
      <c r="B36" s="1" t="n">
        <f aca="false">SUMPRODUCT((Draws!$A$2:$A$225=B$1)*(Draws!$C$2:$H$225=$A36))</f>
        <v>8</v>
      </c>
      <c r="C36" s="1" t="n">
        <f aca="false">SUMPRODUCT((Draws!$A$2:$A$225=C$1)*(Draws!$C$2:$H$225=$A36))</f>
        <v>5</v>
      </c>
      <c r="D36" s="1" t="n">
        <f aca="false">SUMPRODUCT((Draws!$A$2:$A$225=D$1)*(Draws!$C$2:$H$225=$A36))</f>
        <v>6</v>
      </c>
      <c r="E36" s="1" t="n">
        <f aca="false">SUMPRODUCT((Draws!$A$2:$A$225=E$1)*(Draws!$C$2:$H$225=$A36))</f>
        <v>4</v>
      </c>
      <c r="F36" s="1" t="n">
        <f aca="false">SUMPRODUCT((Draws!$A$2:$A$225=F$1)*(Draws!$C$2:$H$225=$A36))</f>
        <v>3</v>
      </c>
    </row>
    <row r="37" customFormat="false" ht="15" hidden="false" customHeight="true" outlineLevel="0" collapsed="false">
      <c r="A37" s="1" t="n">
        <v>36</v>
      </c>
      <c r="B37" s="1" t="n">
        <f aca="false">SUMPRODUCT((Draws!$A$2:$A$225=B$1)*(Draws!$C$2:$H$225=$A37))</f>
        <v>10</v>
      </c>
      <c r="C37" s="1" t="n">
        <f aca="false">SUMPRODUCT((Draws!$A$2:$A$225=C$1)*(Draws!$C$2:$H$225=$A37))</f>
        <v>3</v>
      </c>
      <c r="D37" s="1" t="n">
        <f aca="false">SUMPRODUCT((Draws!$A$2:$A$225=D$1)*(Draws!$C$2:$H$225=$A37))</f>
        <v>4</v>
      </c>
      <c r="E37" s="1" t="n">
        <f aca="false">SUMPRODUCT((Draws!$A$2:$A$225=E$1)*(Draws!$C$2:$H$225=$A37))</f>
        <v>6</v>
      </c>
      <c r="F37" s="1" t="n">
        <f aca="false">SUMPRODUCT((Draws!$A$2:$A$225=F$1)*(Draws!$C$2:$H$225=$A37))</f>
        <v>7</v>
      </c>
    </row>
    <row r="38" customFormat="false" ht="15" hidden="false" customHeight="true" outlineLevel="0" collapsed="false">
      <c r="A38" s="1" t="n">
        <v>37</v>
      </c>
      <c r="B38" s="1" t="n">
        <f aca="false">SUMPRODUCT((Draws!$A$2:$A$225=B$1)*(Draws!$C$2:$H$225=$A38))</f>
        <v>8</v>
      </c>
      <c r="C38" s="1" t="n">
        <f aca="false">SUMPRODUCT((Draws!$A$2:$A$225=C$1)*(Draws!$C$2:$H$225=$A38))</f>
        <v>9</v>
      </c>
      <c r="D38" s="1" t="n">
        <f aca="false">SUMPRODUCT((Draws!$A$2:$A$225=D$1)*(Draws!$C$2:$H$225=$A38))</f>
        <v>4</v>
      </c>
      <c r="E38" s="1" t="n">
        <f aca="false">SUMPRODUCT((Draws!$A$2:$A$225=E$1)*(Draws!$C$2:$H$225=$A38))</f>
        <v>4</v>
      </c>
      <c r="F38" s="1" t="n">
        <f aca="false">SUMPRODUCT((Draws!$A$2:$A$225=F$1)*(Draws!$C$2:$H$225=$A38))</f>
        <v>6</v>
      </c>
    </row>
    <row r="39" customFormat="false" ht="15" hidden="false" customHeight="true" outlineLevel="0" collapsed="false">
      <c r="A39" s="1" t="n">
        <v>38</v>
      </c>
      <c r="B39" s="1" t="n">
        <f aca="false">SUMPRODUCT((Draws!$A$2:$A$225=B$1)*(Draws!$C$2:$H$225=$A39))</f>
        <v>9</v>
      </c>
      <c r="C39" s="1" t="n">
        <f aca="false">SUMPRODUCT((Draws!$A$2:$A$225=C$1)*(Draws!$C$2:$H$225=$A39))</f>
        <v>6</v>
      </c>
      <c r="D39" s="1" t="n">
        <f aca="false">SUMPRODUCT((Draws!$A$2:$A$225=D$1)*(Draws!$C$2:$H$225=$A39))</f>
        <v>3</v>
      </c>
      <c r="E39" s="1" t="n">
        <f aca="false">SUMPRODUCT((Draws!$A$2:$A$225=E$1)*(Draws!$C$2:$H$225=$A39))</f>
        <v>5</v>
      </c>
      <c r="F39" s="1" t="n">
        <f aca="false">SUMPRODUCT((Draws!$A$2:$A$225=F$1)*(Draws!$C$2:$H$225=$A39))</f>
        <v>3</v>
      </c>
    </row>
    <row r="40" customFormat="false" ht="15" hidden="false" customHeight="true" outlineLevel="0" collapsed="false">
      <c r="A40" s="1" t="n">
        <v>39</v>
      </c>
      <c r="B40" s="1" t="n">
        <f aca="false">SUMPRODUCT((Draws!$A$2:$A$225=B$1)*(Draws!$C$2:$H$225=$A40))</f>
        <v>6</v>
      </c>
      <c r="C40" s="1" t="n">
        <f aca="false">SUMPRODUCT((Draws!$A$2:$A$225=C$1)*(Draws!$C$2:$H$225=$A40))</f>
        <v>4</v>
      </c>
      <c r="D40" s="1" t="n">
        <f aca="false">SUMPRODUCT((Draws!$A$2:$A$225=D$1)*(Draws!$C$2:$H$225=$A40))</f>
        <v>2</v>
      </c>
      <c r="E40" s="1" t="n">
        <f aca="false">SUMPRODUCT((Draws!$A$2:$A$225=E$1)*(Draws!$C$2:$H$225=$A40))</f>
        <v>5</v>
      </c>
      <c r="F40" s="1" t="n">
        <f aca="false">SUMPRODUCT((Draws!$A$2:$A$225=F$1)*(Draws!$C$2:$H$225=$A40))</f>
        <v>7</v>
      </c>
    </row>
    <row r="41" customFormat="false" ht="15" hidden="false" customHeight="true" outlineLevel="0" collapsed="false">
      <c r="A41" s="1" t="n">
        <v>40</v>
      </c>
      <c r="B41" s="1" t="n">
        <f aca="false">SUMPRODUCT((Draws!$A$2:$A$225=B$1)*(Draws!$C$2:$H$225=$A41))</f>
        <v>4</v>
      </c>
      <c r="C41" s="1" t="n">
        <f aca="false">SUMPRODUCT((Draws!$A$2:$A$225=C$1)*(Draws!$C$2:$H$225=$A41))</f>
        <v>1</v>
      </c>
      <c r="D41" s="1" t="n">
        <f aca="false">SUMPRODUCT((Draws!$A$2:$A$225=D$1)*(Draws!$C$2:$H$225=$A41))</f>
        <v>6</v>
      </c>
      <c r="E41" s="1" t="n">
        <f aca="false">SUMPRODUCT((Draws!$A$2:$A$225=E$1)*(Draws!$C$2:$H$225=$A41))</f>
        <v>6</v>
      </c>
      <c r="F41" s="1" t="n">
        <f aca="false">SUMPRODUCT((Draws!$A$2:$A$225=F$1)*(Draws!$C$2:$H$225=$A41))</f>
        <v>6</v>
      </c>
    </row>
    <row r="42" customFormat="false" ht="15" hidden="false" customHeight="true" outlineLevel="0" collapsed="false">
      <c r="A42" s="1" t="n">
        <v>41</v>
      </c>
      <c r="B42" s="1" t="n">
        <f aca="false">SUMPRODUCT((Draws!$A$2:$A$225=B$1)*(Draws!$C$2:$H$225=$A42))</f>
        <v>9</v>
      </c>
      <c r="C42" s="1" t="n">
        <f aca="false">SUMPRODUCT((Draws!$A$2:$A$225=C$1)*(Draws!$C$2:$H$225=$A42))</f>
        <v>9</v>
      </c>
      <c r="D42" s="1" t="n">
        <f aca="false">SUMPRODUCT((Draws!$A$2:$A$225=D$1)*(Draws!$C$2:$H$225=$A42))</f>
        <v>3</v>
      </c>
      <c r="E42" s="1" t="n">
        <f aca="false">SUMPRODUCT((Draws!$A$2:$A$225=E$1)*(Draws!$C$2:$H$225=$A42))</f>
        <v>4</v>
      </c>
      <c r="F42" s="1" t="n">
        <f aca="false">SUMPRODUCT((Draws!$A$2:$A$225=F$1)*(Draws!$C$2:$H$225=$A42))</f>
        <v>3</v>
      </c>
    </row>
    <row r="43" customFormat="false" ht="15" hidden="false" customHeight="true" outlineLevel="0" collapsed="false">
      <c r="A43" s="1" t="n">
        <v>42</v>
      </c>
      <c r="B43" s="1" t="n">
        <f aca="false">SUMPRODUCT((Draws!$A$2:$A$225=B$1)*(Draws!$C$2:$H$225=$A43))</f>
        <v>7</v>
      </c>
      <c r="C43" s="1" t="n">
        <f aca="false">SUMPRODUCT((Draws!$A$2:$A$225=C$1)*(Draws!$C$2:$H$225=$A43))</f>
        <v>5</v>
      </c>
      <c r="D43" s="1" t="n">
        <f aca="false">SUMPRODUCT((Draws!$A$2:$A$225=D$1)*(Draws!$C$2:$H$225=$A43))</f>
        <v>8</v>
      </c>
      <c r="E43" s="1" t="n">
        <f aca="false">SUMPRODUCT((Draws!$A$2:$A$225=E$1)*(Draws!$C$2:$H$225=$A43))</f>
        <v>11</v>
      </c>
      <c r="F43" s="1" t="n">
        <f aca="false">SUMPRODUCT((Draws!$A$2:$A$225=F$1)*(Draws!$C$2:$H$225=$A43))</f>
        <v>6</v>
      </c>
    </row>
    <row r="44" customFormat="false" ht="15" hidden="false" customHeight="true" outlineLevel="0" collapsed="false">
      <c r="A44" s="1" t="n">
        <v>43</v>
      </c>
      <c r="C44" s="1" t="n">
        <f aca="false">SUMPRODUCT((Draws!$A$2:$A$225=C$1)*(Draws!$C$2:$H$225=$A44))</f>
        <v>9</v>
      </c>
      <c r="D44" s="1" t="n">
        <f aca="false">SUMPRODUCT((Draws!$A$2:$A$225=D$1)*(Draws!$C$2:$H$225=$A44))</f>
        <v>8</v>
      </c>
      <c r="E44" s="1" t="n">
        <f aca="false">SUMPRODUCT((Draws!$A$2:$A$225=E$1)*(Draws!$C$2:$H$225=$A44))</f>
        <v>11</v>
      </c>
      <c r="F44" s="1" t="n">
        <f aca="false">SUMPRODUCT((Draws!$A$2:$A$225=F$1)*(Draws!$C$2:$H$225=$A44))</f>
        <v>7</v>
      </c>
    </row>
    <row r="45" customFormat="false" ht="15" hidden="false" customHeight="true" outlineLevel="0" collapsed="false">
      <c r="A45" s="1" t="n">
        <v>44</v>
      </c>
      <c r="C45" s="1" t="n">
        <f aca="false">SUMPRODUCT((Draws!$A$2:$A$225=C$1)*(Draws!$C$2:$H$225=$A45))</f>
        <v>8</v>
      </c>
      <c r="D45" s="1" t="n">
        <f aca="false">SUMPRODUCT((Draws!$A$2:$A$225=D$1)*(Draws!$C$2:$H$225=$A45))</f>
        <v>12</v>
      </c>
      <c r="E45" s="1" t="n">
        <f aca="false">SUMPRODUCT((Draws!$A$2:$A$225=E$1)*(Draws!$C$2:$H$225=$A45))</f>
        <v>5</v>
      </c>
      <c r="F45" s="1" t="n">
        <f aca="false">SUMPRODUCT((Draws!$A$2:$A$225=F$1)*(Draws!$C$2:$H$225=$A45))</f>
        <v>1</v>
      </c>
    </row>
    <row r="46" customFormat="false" ht="15" hidden="false" customHeight="true" outlineLevel="0" collapsed="false">
      <c r="A46" s="1" t="n">
        <v>45</v>
      </c>
      <c r="C46" s="1" t="n">
        <f aca="false">SUMPRODUCT((Draws!$A$2:$A$225=C$1)*(Draws!$C$2:$H$225=$A46))</f>
        <v>7</v>
      </c>
      <c r="D46" s="1" t="n">
        <f aca="false">SUMPRODUCT((Draws!$A$2:$A$225=D$1)*(Draws!$C$2:$H$225=$A46))</f>
        <v>4</v>
      </c>
      <c r="E46" s="1" t="n">
        <f aca="false">SUMPRODUCT((Draws!$A$2:$A$225=E$1)*(Draws!$C$2:$H$225=$A46))</f>
        <v>4</v>
      </c>
      <c r="F46" s="1" t="n">
        <f aca="false">SUMPRODUCT((Draws!$A$2:$A$225=F$1)*(Draws!$C$2:$H$225=$A46))</f>
        <v>11</v>
      </c>
    </row>
    <row r="47" customFormat="false" ht="15" hidden="false" customHeight="true" outlineLevel="0" collapsed="false">
      <c r="A47" s="1" t="n">
        <v>46</v>
      </c>
      <c r="D47" s="1" t="n">
        <f aca="false">SUMPRODUCT((Draws!$A$2:$A$225=D$1)*(Draws!$C$2:$H$225=$A47))</f>
        <v>5</v>
      </c>
      <c r="E47" s="1" t="n">
        <f aca="false">SUMPRODUCT((Draws!$A$2:$A$225=E$1)*(Draws!$C$2:$H$225=$A47))</f>
        <v>8</v>
      </c>
      <c r="F47" s="1" t="n">
        <f aca="false">SUMPRODUCT((Draws!$A$2:$A$225=F$1)*(Draws!$C$2:$H$225=$A47))</f>
        <v>1</v>
      </c>
    </row>
    <row r="48" customFormat="false" ht="15" hidden="false" customHeight="true" outlineLevel="0" collapsed="false">
      <c r="A48" s="1" t="n">
        <v>47</v>
      </c>
      <c r="D48" s="1" t="n">
        <f aca="false">SUMPRODUCT((Draws!$A$2:$A$225=D$1)*(Draws!$C$2:$H$225=$A48))</f>
        <v>6</v>
      </c>
      <c r="E48" s="1" t="n">
        <f aca="false">SUMPRODUCT((Draws!$A$2:$A$225=E$1)*(Draws!$C$2:$H$225=$A48))</f>
        <v>4</v>
      </c>
      <c r="F48" s="1" t="n">
        <f aca="false">SUMPRODUCT((Draws!$A$2:$A$225=F$1)*(Draws!$C$2:$H$225=$A48))</f>
        <v>6</v>
      </c>
    </row>
    <row r="49" customFormat="false" ht="15" hidden="false" customHeight="true" outlineLevel="0" collapsed="false">
      <c r="A49" s="1" t="n">
        <v>48</v>
      </c>
      <c r="D49" s="1" t="n">
        <f aca="false">SUMPRODUCT((Draws!$A$2:$A$225=D$1)*(Draws!$C$2:$H$225=$A49))</f>
        <v>4</v>
      </c>
      <c r="E49" s="1" t="n">
        <f aca="false">SUMPRODUCT((Draws!$A$2:$A$225=E$1)*(Draws!$C$2:$H$225=$A49))</f>
        <v>7</v>
      </c>
      <c r="F49" s="1" t="n">
        <f aca="false">SUMPRODUCT((Draws!$A$2:$A$225=F$1)*(Draws!$C$2:$H$225=$A49))</f>
        <v>4</v>
      </c>
    </row>
    <row r="50" customFormat="false" ht="15" hidden="false" customHeight="true" outlineLevel="0" collapsed="false">
      <c r="A50" s="1" t="n">
        <v>49</v>
      </c>
      <c r="D50" s="1" t="n">
        <f aca="false">SUMPRODUCT((Draws!$A$2:$A$225=D$1)*(Draws!$C$2:$H$225=$A50))</f>
        <v>4</v>
      </c>
      <c r="E50" s="1" t="n">
        <f aca="false">SUMPRODUCT((Draws!$A$2:$A$225=E$1)*(Draws!$C$2:$H$225=$A50))</f>
        <v>1</v>
      </c>
      <c r="F50" s="1" t="n">
        <f aca="false">SUMPRODUCT((Draws!$A$2:$A$225=F$1)*(Draws!$C$2:$H$225=$A50))</f>
        <v>2</v>
      </c>
    </row>
    <row r="51" customFormat="false" ht="15" hidden="false" customHeight="true" outlineLevel="0" collapsed="false">
      <c r="A51" s="1" t="n">
        <v>50</v>
      </c>
      <c r="E51" s="1" t="n">
        <f aca="false">SUMPRODUCT((Draws!$A$2:$A$225=E$1)*(Draws!$C$2:$H$225=$A51))</f>
        <v>7</v>
      </c>
      <c r="F51" s="1" t="n">
        <f aca="false">SUMPRODUCT((Draws!$A$2:$A$225=F$1)*(Draws!$C$2:$H$225=$A51))</f>
        <v>7</v>
      </c>
    </row>
    <row r="52" customFormat="false" ht="15" hidden="false" customHeight="true" outlineLevel="0" collapsed="false">
      <c r="A52" s="1" t="n">
        <v>51</v>
      </c>
      <c r="E52" s="1" t="n">
        <f aca="false">SUMPRODUCT((Draws!$A$2:$A$225=E$1)*(Draws!$C$2:$H$225=$A52))</f>
        <v>6</v>
      </c>
      <c r="F52" s="1" t="n">
        <f aca="false">SUMPRODUCT((Draws!$A$2:$A$225=F$1)*(Draws!$C$2:$H$225=$A52))</f>
        <v>7</v>
      </c>
    </row>
    <row r="53" customFormat="false" ht="15" hidden="false" customHeight="true" outlineLevel="0" collapsed="false">
      <c r="A53" s="1" t="n">
        <v>52</v>
      </c>
      <c r="E53" s="1" t="n">
        <f aca="false">SUMPRODUCT((Draws!$A$2:$A$225=E$1)*(Draws!$C$2:$H$225=$A53))</f>
        <v>4</v>
      </c>
      <c r="F53" s="1" t="n">
        <f aca="false">SUMPRODUCT((Draws!$A$2:$A$225=F$1)*(Draws!$C$2:$H$225=$A53))</f>
        <v>6</v>
      </c>
    </row>
    <row r="54" customFormat="false" ht="15" hidden="false" customHeight="true" outlineLevel="0" collapsed="false">
      <c r="A54" s="1" t="n">
        <v>53</v>
      </c>
      <c r="E54" s="1" t="n">
        <f aca="false">SUMPRODUCT((Draws!$A$2:$A$225=E$1)*(Draws!$C$2:$H$225=$A54))</f>
        <v>5</v>
      </c>
      <c r="F54" s="1" t="n">
        <f aca="false">SUMPRODUCT((Draws!$A$2:$A$225=F$1)*(Draws!$C$2:$H$225=$A54))</f>
        <v>7</v>
      </c>
    </row>
    <row r="55" customFormat="false" ht="15" hidden="false" customHeight="true" outlineLevel="0" collapsed="false">
      <c r="A55" s="1" t="n">
        <v>54</v>
      </c>
      <c r="E55" s="1" t="n">
        <f aca="false">SUMPRODUCT((Draws!$A$2:$A$225=E$1)*(Draws!$C$2:$H$225=$A55))</f>
        <v>7</v>
      </c>
      <c r="F55" s="1" t="n">
        <f aca="false">SUMPRODUCT((Draws!$A$2:$A$225=F$1)*(Draws!$C$2:$H$225=$A55))</f>
        <v>3</v>
      </c>
    </row>
    <row r="56" customFormat="false" ht="15" hidden="false" customHeight="true" outlineLevel="0" collapsed="false">
      <c r="A56" s="1" t="n">
        <v>55</v>
      </c>
      <c r="E56" s="1" t="n">
        <f aca="false">SUMPRODUCT((Draws!$A$2:$A$225=E$1)*(Draws!$C$2:$H$225=$A56))</f>
        <v>6</v>
      </c>
      <c r="F56" s="1" t="n">
        <f aca="false">SUMPRODUCT((Draws!$A$2:$A$225=F$1)*(Draws!$C$2:$H$225=$A56))</f>
        <v>4</v>
      </c>
    </row>
    <row r="57" customFormat="false" ht="15" hidden="false" customHeight="true" outlineLevel="0" collapsed="false">
      <c r="A57" s="1" t="n">
        <v>56</v>
      </c>
      <c r="F57" s="1" t="n">
        <f aca="false">SUMPRODUCT((Draws!$A$2:$A$225=F$1)*(Draws!$C$2:$H$225=$A57))</f>
        <v>3</v>
      </c>
    </row>
    <row r="58" customFormat="false" ht="15" hidden="false" customHeight="true" outlineLevel="0" collapsed="false">
      <c r="A58" s="1" t="n">
        <v>57</v>
      </c>
      <c r="F58" s="1" t="n">
        <f aca="false">SUMPRODUCT((Draws!$A$2:$A$225=F$1)*(Draws!$C$2:$H$225=$A58))</f>
        <v>5</v>
      </c>
    </row>
    <row r="59" customFormat="false" ht="15" hidden="false" customHeight="true" outlineLevel="0" collapsed="false">
      <c r="A59" s="1" t="n">
        <v>58</v>
      </c>
      <c r="F59" s="1" t="n">
        <f aca="false">SUMPRODUCT((Draws!$A$2:$A$225=F$1)*(Draws!$C$2:$H$225=$A59))</f>
        <v>8</v>
      </c>
    </row>
    <row r="61" customFormat="false" ht="15" hidden="false" customHeight="true" outlineLevel="0" collapsed="false">
      <c r="A61" s="7" t="s">
        <v>136</v>
      </c>
      <c r="B61" s="1" t="n">
        <f aca="false">COUNTIF(Draws!$A:$A,B$1)</f>
        <v>44</v>
      </c>
      <c r="C61" s="1" t="n">
        <f aca="false">COUNTIF(Draws!$A:$A,C$1)</f>
        <v>45</v>
      </c>
      <c r="D61" s="1" t="n">
        <f aca="false">COUNTIF(Draws!$A:$A,D$1)</f>
        <v>45</v>
      </c>
      <c r="E61" s="1" t="n">
        <f aca="false">COUNTIF(Draws!$A:$A,E$1)</f>
        <v>45</v>
      </c>
      <c r="F61" s="1" t="n">
        <f aca="false">COUNTIF(Draws!$A:$A,F$1)</f>
        <v>45</v>
      </c>
    </row>
    <row r="62" customFormat="false" ht="15" hidden="false" customHeight="true" outlineLevel="0" collapsed="false">
      <c r="A62" s="7" t="s">
        <v>137</v>
      </c>
      <c r="B62" s="1" t="n">
        <v>42</v>
      </c>
      <c r="C62" s="1" t="n">
        <v>45</v>
      </c>
      <c r="D62" s="1" t="n">
        <v>49</v>
      </c>
      <c r="E62" s="1" t="n">
        <v>55</v>
      </c>
      <c r="F62" s="1" t="n">
        <v>58</v>
      </c>
    </row>
    <row r="63" customFormat="false" ht="15" hidden="false" customHeight="true" outlineLevel="0" collapsed="false">
      <c r="A63" s="7" t="s">
        <v>138</v>
      </c>
      <c r="B63" s="1" t="n">
        <f aca="false">B61*6/B62</f>
        <v>6.28571428571429</v>
      </c>
      <c r="C63" s="1" t="n">
        <f aca="false">C61*6/C62</f>
        <v>6</v>
      </c>
      <c r="D63" s="1" t="n">
        <f aca="false">D61*6/D62</f>
        <v>5.51020408163265</v>
      </c>
      <c r="E63" s="1" t="n">
        <f aca="false">E61*6/E62</f>
        <v>4.90909090909091</v>
      </c>
      <c r="F63" s="1" t="n">
        <f aca="false">F61*6/F62</f>
        <v>4.6551724137931</v>
      </c>
    </row>
    <row r="64" customFormat="false" ht="15" hidden="false" customHeight="true" outlineLevel="0" collapsed="false">
      <c r="A64" s="7" t="s">
        <v>139</v>
      </c>
      <c r="B64" s="1" t="n">
        <f aca="false">SUMPRODUCT((B2:B43-B63)^2)/B63</f>
        <v>30.6363636363636</v>
      </c>
      <c r="C64" s="1" t="n">
        <f aca="false">SUMPRODUCT((C2:C46-C63)^2)/C63</f>
        <v>48.3333333333333</v>
      </c>
      <c r="D64" s="1" t="n">
        <f aca="false">SUMPRODUCT((D2:D50-D63)^2)/D63</f>
        <v>42.5111111111111</v>
      </c>
      <c r="E64" s="1" t="n">
        <f aca="false">SUMPRODUCT((E2:E56-E63)^2)/E63</f>
        <v>57.962962962963</v>
      </c>
      <c r="F64" s="1" t="n">
        <f aca="false">SUMPRODUCT((F2:F59-F63)^2)/F63</f>
        <v>62.1037037037037</v>
      </c>
    </row>
    <row r="65" customFormat="false" ht="15" hidden="false" customHeight="true" outlineLevel="0" collapsed="false">
      <c r="A65" s="7" t="s">
        <v>140</v>
      </c>
      <c r="B65" s="1" t="n">
        <v>41</v>
      </c>
      <c r="C65" s="1" t="n">
        <v>44</v>
      </c>
      <c r="D65" s="1" t="n">
        <v>48</v>
      </c>
      <c r="E65" s="1" t="n">
        <v>54</v>
      </c>
      <c r="F65" s="1" t="n">
        <v>57</v>
      </c>
    </row>
    <row r="66" customFormat="false" ht="15" hidden="false" customHeight="true" outlineLevel="0" collapsed="false">
      <c r="A66" s="7" t="s">
        <v>141</v>
      </c>
      <c r="B66" s="1" t="n">
        <f aca="false">CHIDIST(B64,B65)</f>
        <v>0.881563527099527</v>
      </c>
      <c r="C66" s="1" t="n">
        <f aca="false">CHIDIST(C64,C65)</f>
        <v>0.302171349769966</v>
      </c>
      <c r="D66" s="1" t="n">
        <f aca="false">CHIDIST(D64,D65)</f>
        <v>0.696489973477977</v>
      </c>
      <c r="E66" s="1" t="n">
        <f aca="false">CHIDIST(E64,E65)</f>
        <v>0.331341491321452</v>
      </c>
      <c r="F66" s="1" t="n">
        <f aca="false">CHIDIST(F64,F65)</f>
        <v>0.299277403448587</v>
      </c>
    </row>
    <row r="67" customFormat="false" ht="15" hidden="false" customHeight="true" outlineLevel="0" collapsed="false">
      <c r="A67" s="7" t="s">
        <v>142</v>
      </c>
      <c r="B67" s="1" t="str">
        <f aca="false">IF(B66&lt;0.05,"Deviates from uniform","Consistent with random")</f>
        <v>Consistent with random</v>
      </c>
      <c r="C67" s="1" t="str">
        <f aca="false">IF(C66&lt;0.05,"Deviates from uniform","Consistent with random")</f>
        <v>Consistent with random</v>
      </c>
      <c r="D67" s="1" t="str">
        <f aca="false">IF(D66&lt;0.05,"Deviates from uniform","Consistent with random")</f>
        <v>Consistent with random</v>
      </c>
      <c r="E67" s="1" t="str">
        <f aca="false">IF(E66&lt;0.05,"Deviates from uniform","Consistent with random")</f>
        <v>Consistent with random</v>
      </c>
      <c r="F67" s="1" t="str">
        <f aca="false">IF(F66&lt;0.05,"Deviates from uniform","Consistent with random")</f>
        <v>Consistent with random</v>
      </c>
    </row>
    <row r="68" customFormat="false" ht="15" hidden="false" customHeight="true" outlineLevel="0" collapsed="false">
      <c r="A68" s="8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7" t="s">
        <v>144</v>
      </c>
    </row>
    <row r="3" customFormat="false" ht="15" hidden="false" customHeight="true" outlineLevel="0" collapsed="false">
      <c r="A3" s="5" t="s">
        <v>26</v>
      </c>
      <c r="D3" s="5" t="s">
        <v>68</v>
      </c>
      <c r="G3" s="5" t="s">
        <v>110</v>
      </c>
      <c r="J3" s="5" t="s">
        <v>125</v>
      </c>
      <c r="M3" s="5" t="s">
        <v>126</v>
      </c>
    </row>
    <row r="4" customFormat="false" ht="15" hidden="false" customHeight="true" outlineLevel="0" collapsed="false">
      <c r="A4" s="1" t="s">
        <v>145</v>
      </c>
      <c r="B4" s="1" t="s">
        <v>146</v>
      </c>
      <c r="D4" s="1" t="s">
        <v>145</v>
      </c>
      <c r="E4" s="1" t="s">
        <v>146</v>
      </c>
      <c r="G4" s="1" t="s">
        <v>145</v>
      </c>
      <c r="H4" s="1" t="s">
        <v>146</v>
      </c>
      <c r="J4" s="1" t="s">
        <v>145</v>
      </c>
      <c r="K4" s="1" t="s">
        <v>146</v>
      </c>
      <c r="M4" s="1" t="s">
        <v>145</v>
      </c>
      <c r="N4" s="1" t="s">
        <v>146</v>
      </c>
    </row>
    <row r="5" customFormat="false" ht="15" hidden="false" customHeight="true" outlineLevel="0" collapsed="false">
      <c r="A5" s="1" t="n">
        <f aca="false">INDEX(Frequency!$A$2:$A$43,MATCH(LARGE(Frequency!B2:B43,1),Frequency!B2:B43,0))</f>
        <v>3</v>
      </c>
      <c r="B5" s="1" t="n">
        <f aca="false">LARGE(Frequency!B2:B43,1)</f>
        <v>12</v>
      </c>
      <c r="D5" s="1" t="n">
        <f aca="false">INDEX(Frequency!$A$2:$A$46,MATCH(LARGE(Frequency!C2:C46,1),Frequency!C2:C46,0))</f>
        <v>27</v>
      </c>
      <c r="E5" s="1" t="n">
        <f aca="false">LARGE(Frequency!C2:C46,1)</f>
        <v>13</v>
      </c>
      <c r="G5" s="1" t="n">
        <f aca="false">INDEX(Frequency!$A$2:$A$50,MATCH(LARGE(Frequency!D2:D50,1),Frequency!D2:D50,0))</f>
        <v>44</v>
      </c>
      <c r="H5" s="1" t="n">
        <f aca="false">LARGE(Frequency!D2:D50,1)</f>
        <v>12</v>
      </c>
      <c r="J5" s="1" t="n">
        <f aca="false">INDEX(Frequency!$A$2:$A$56,MATCH(LARGE(Frequency!E2:E56,1),Frequency!E2:E56,0))</f>
        <v>42</v>
      </c>
      <c r="K5" s="1" t="n">
        <f aca="false">LARGE(Frequency!E2:E56,1)</f>
        <v>11</v>
      </c>
      <c r="M5" s="1" t="n">
        <f aca="false">INDEX(Frequency!$A$2:$A$59,MATCH(LARGE(Frequency!F2:F59,1),Frequency!F2:F59,0))</f>
        <v>20</v>
      </c>
      <c r="N5" s="1" t="n">
        <f aca="false">LARGE(Frequency!F2:F59,1)</f>
        <v>11</v>
      </c>
    </row>
    <row r="6" customFormat="false" ht="15" hidden="false" customHeight="true" outlineLevel="0" collapsed="false">
      <c r="A6" s="1" t="n">
        <f aca="false">INDEX(Frequency!$A$2:$A$43,MATCH(LARGE(Frequency!B2:B43,2),Frequency!B2:B43,0))</f>
        <v>12</v>
      </c>
      <c r="B6" s="1" t="n">
        <f aca="false">LARGE(Frequency!B2:B43,2)</f>
        <v>10</v>
      </c>
      <c r="D6" s="1" t="n">
        <f aca="false">INDEX(Frequency!$A$2:$A$46,MATCH(LARGE(Frequency!C2:C46,2),Frequency!C2:C46,0))</f>
        <v>4</v>
      </c>
      <c r="E6" s="1" t="n">
        <f aca="false">LARGE(Frequency!C2:C46,2)</f>
        <v>10</v>
      </c>
      <c r="G6" s="1" t="n">
        <f aca="false">INDEX(Frequency!$A$2:$A$50,MATCH(LARGE(Frequency!D2:D50,2),Frequency!D2:D50,0))</f>
        <v>4</v>
      </c>
      <c r="H6" s="1" t="n">
        <f aca="false">LARGE(Frequency!D2:D50,2)</f>
        <v>9</v>
      </c>
      <c r="J6" s="1" t="n">
        <f aca="false">INDEX(Frequency!$A$2:$A$56,MATCH(LARGE(Frequency!E2:E56,2),Frequency!E2:E56,0))</f>
        <v>42</v>
      </c>
      <c r="K6" s="1" t="n">
        <f aca="false">LARGE(Frequency!E2:E56,2)</f>
        <v>11</v>
      </c>
      <c r="M6" s="1" t="n">
        <f aca="false">INDEX(Frequency!$A$2:$A$59,MATCH(LARGE(Frequency!F2:F59,2),Frequency!F2:F59,0))</f>
        <v>20</v>
      </c>
      <c r="N6" s="1" t="n">
        <f aca="false">LARGE(Frequency!F2:F59,2)</f>
        <v>11</v>
      </c>
    </row>
    <row r="7" customFormat="false" ht="15" hidden="false" customHeight="true" outlineLevel="0" collapsed="false">
      <c r="A7" s="1" t="n">
        <f aca="false">INDEX(Frequency!$A$2:$A$43,MATCH(LARGE(Frequency!B2:B43,3),Frequency!B2:B43,0))</f>
        <v>12</v>
      </c>
      <c r="B7" s="1" t="n">
        <f aca="false">LARGE(Frequency!B2:B43,3)</f>
        <v>10</v>
      </c>
      <c r="D7" s="1" t="n">
        <f aca="false">INDEX(Frequency!$A$2:$A$46,MATCH(LARGE(Frequency!C2:C46,3),Frequency!C2:C46,0))</f>
        <v>4</v>
      </c>
      <c r="E7" s="1" t="n">
        <f aca="false">LARGE(Frequency!C2:C46,3)</f>
        <v>10</v>
      </c>
      <c r="G7" s="1" t="n">
        <f aca="false">INDEX(Frequency!$A$2:$A$50,MATCH(LARGE(Frequency!D2:D50,3),Frequency!D2:D50,0))</f>
        <v>4</v>
      </c>
      <c r="H7" s="1" t="n">
        <f aca="false">LARGE(Frequency!D2:D50,3)</f>
        <v>9</v>
      </c>
      <c r="J7" s="1" t="n">
        <f aca="false">INDEX(Frequency!$A$2:$A$56,MATCH(LARGE(Frequency!E2:E56,3),Frequency!E2:E56,0))</f>
        <v>19</v>
      </c>
      <c r="K7" s="1" t="n">
        <f aca="false">LARGE(Frequency!E2:E56,3)</f>
        <v>10</v>
      </c>
      <c r="M7" s="1" t="n">
        <f aca="false">INDEX(Frequency!$A$2:$A$59,MATCH(LARGE(Frequency!F2:F59,3),Frequency!F2:F59,0))</f>
        <v>9</v>
      </c>
      <c r="N7" s="1" t="n">
        <f aca="false">LARGE(Frequency!F2:F59,3)</f>
        <v>8</v>
      </c>
    </row>
    <row r="8" customFormat="false" ht="15" hidden="false" customHeight="true" outlineLevel="0" collapsed="false">
      <c r="A8" s="1" t="n">
        <f aca="false">INDEX(Frequency!$A$2:$A$43,MATCH(LARGE(Frequency!B2:B43,4),Frequency!B2:B43,0))</f>
        <v>7</v>
      </c>
      <c r="B8" s="1" t="n">
        <f aca="false">LARGE(Frequency!B2:B43,4)</f>
        <v>9</v>
      </c>
      <c r="D8" s="1" t="n">
        <f aca="false">INDEX(Frequency!$A$2:$A$46,MATCH(LARGE(Frequency!C2:C46,4),Frequency!C2:C46,0))</f>
        <v>10</v>
      </c>
      <c r="E8" s="1" t="n">
        <f aca="false">LARGE(Frequency!C2:C46,4)</f>
        <v>9</v>
      </c>
      <c r="G8" s="1" t="n">
        <f aca="false">INDEX(Frequency!$A$2:$A$50,MATCH(LARGE(Frequency!D2:D50,4),Frequency!D2:D50,0))</f>
        <v>4</v>
      </c>
      <c r="H8" s="1" t="n">
        <f aca="false">LARGE(Frequency!D2:D50,4)</f>
        <v>9</v>
      </c>
      <c r="J8" s="1" t="n">
        <f aca="false">INDEX(Frequency!$A$2:$A$56,MATCH(LARGE(Frequency!E2:E56,4),Frequency!E2:E56,0))</f>
        <v>24</v>
      </c>
      <c r="K8" s="1" t="n">
        <f aca="false">LARGE(Frequency!E2:E56,4)</f>
        <v>9</v>
      </c>
      <c r="M8" s="1" t="n">
        <f aca="false">INDEX(Frequency!$A$2:$A$59,MATCH(LARGE(Frequency!F2:F59,4),Frequency!F2:F59,0))</f>
        <v>9</v>
      </c>
      <c r="N8" s="1" t="n">
        <f aca="false">LARGE(Frequency!F2:F59,4)</f>
        <v>8</v>
      </c>
    </row>
    <row r="9" customFormat="false" ht="15" hidden="false" customHeight="true" outlineLevel="0" collapsed="false">
      <c r="A9" s="1" t="n">
        <f aca="false">INDEX(Frequency!$A$2:$A$43,MATCH(LARGE(Frequency!B2:B43,5),Frequency!B2:B43,0))</f>
        <v>7</v>
      </c>
      <c r="B9" s="1" t="n">
        <f aca="false">LARGE(Frequency!B2:B43,5)</f>
        <v>9</v>
      </c>
      <c r="D9" s="1" t="n">
        <f aca="false">INDEX(Frequency!$A$2:$A$46,MATCH(LARGE(Frequency!C2:C46,5),Frequency!C2:C46,0))</f>
        <v>10</v>
      </c>
      <c r="E9" s="1" t="n">
        <f aca="false">LARGE(Frequency!C2:C46,5)</f>
        <v>9</v>
      </c>
      <c r="G9" s="1" t="n">
        <f aca="false">INDEX(Frequency!$A$2:$A$50,MATCH(LARGE(Frequency!D2:D50,5),Frequency!D2:D50,0))</f>
        <v>4</v>
      </c>
      <c r="H9" s="1" t="n">
        <f aca="false">LARGE(Frequency!D2:D50,5)</f>
        <v>9</v>
      </c>
      <c r="J9" s="1" t="n">
        <f aca="false">INDEX(Frequency!$A$2:$A$56,MATCH(LARGE(Frequency!E2:E56,5),Frequency!E2:E56,0))</f>
        <v>46</v>
      </c>
      <c r="K9" s="1" t="n">
        <f aca="false">LARGE(Frequency!E2:E56,5)</f>
        <v>8</v>
      </c>
      <c r="M9" s="1" t="n">
        <f aca="false">INDEX(Frequency!$A$2:$A$59,MATCH(LARGE(Frequency!F2:F59,5),Frequency!F2:F59,0))</f>
        <v>9</v>
      </c>
      <c r="N9" s="1" t="n">
        <f aca="false">LARGE(Frequency!F2:F59,5)</f>
        <v>8</v>
      </c>
    </row>
    <row r="11" customFormat="false" ht="15" hidden="false" customHeight="true" outlineLevel="0" collapsed="false">
      <c r="A11" s="1" t="s">
        <v>147</v>
      </c>
      <c r="B11" s="1" t="s">
        <v>146</v>
      </c>
      <c r="D11" s="1" t="s">
        <v>147</v>
      </c>
      <c r="E11" s="1" t="s">
        <v>146</v>
      </c>
      <c r="G11" s="1" t="s">
        <v>147</v>
      </c>
      <c r="H11" s="1" t="s">
        <v>146</v>
      </c>
      <c r="J11" s="1" t="s">
        <v>147</v>
      </c>
      <c r="K11" s="1" t="s">
        <v>146</v>
      </c>
      <c r="M11" s="1" t="s">
        <v>147</v>
      </c>
      <c r="N11" s="1" t="s">
        <v>146</v>
      </c>
    </row>
    <row r="12" customFormat="false" ht="15" hidden="false" customHeight="true" outlineLevel="0" collapsed="false">
      <c r="A12" s="1" t="n">
        <f aca="false">INDEX(Frequency!$A$2:$A$43,MATCH(SMALL(Frequency!B2:B43,1),Frequency!B2:B43,0))</f>
        <v>14</v>
      </c>
      <c r="B12" s="1" t="n">
        <f aca="false">SMALL(Frequency!B2:B43,1)</f>
        <v>3</v>
      </c>
      <c r="D12" s="1" t="n">
        <f aca="false">INDEX(Frequency!$A$2:$A$46,MATCH(SMALL(Frequency!C2:C46,1),Frequency!C2:C46,0))</f>
        <v>30</v>
      </c>
      <c r="E12" s="1" t="n">
        <f aca="false">SMALL(Frequency!C2:C46,1)</f>
        <v>1</v>
      </c>
      <c r="G12" s="1" t="n">
        <f aca="false">INDEX(Frequency!$A$2:$A$50,MATCH(SMALL(Frequency!D2:D50,1),Frequency!D2:D50,0))</f>
        <v>30</v>
      </c>
      <c r="H12" s="1" t="n">
        <f aca="false">SMALL(Frequency!D2:D50,1)</f>
        <v>2</v>
      </c>
      <c r="J12" s="1" t="n">
        <f aca="false">INDEX(Frequency!$A$2:$A$56,MATCH(SMALL(Frequency!E2:E56,1),Frequency!E2:E56,0))</f>
        <v>14</v>
      </c>
      <c r="K12" s="1" t="n">
        <f aca="false">SMALL(Frequency!E2:E56,1)</f>
        <v>1</v>
      </c>
      <c r="M12" s="1" t="n">
        <f aca="false">INDEX(Frequency!$A$2:$A$59,MATCH(SMALL(Frequency!F2:F59,1),Frequency!F2:F59,0))</f>
        <v>18</v>
      </c>
      <c r="N12" s="1" t="n">
        <f aca="false">SMALL(Frequency!F2:F59,1)</f>
        <v>1</v>
      </c>
    </row>
    <row r="13" customFormat="false" ht="15" hidden="false" customHeight="true" outlineLevel="0" collapsed="false">
      <c r="A13" s="1" t="n">
        <f aca="false">INDEX(Frequency!$A$2:$A$43,MATCH(SMALL(Frequency!B2:B43,2),Frequency!B2:B43,0))</f>
        <v>14</v>
      </c>
      <c r="B13" s="1" t="n">
        <f aca="false">SMALL(Frequency!B2:B43,2)</f>
        <v>3</v>
      </c>
      <c r="D13" s="1" t="n">
        <f aca="false">INDEX(Frequency!$A$2:$A$46,MATCH(SMALL(Frequency!C2:C46,2),Frequency!C2:C46,0))</f>
        <v>30</v>
      </c>
      <c r="E13" s="1" t="n">
        <f aca="false">SMALL(Frequency!C2:C46,2)</f>
        <v>1</v>
      </c>
      <c r="G13" s="1" t="n">
        <f aca="false">INDEX(Frequency!$A$2:$A$50,MATCH(SMALL(Frequency!D2:D50,2),Frequency!D2:D50,0))</f>
        <v>30</v>
      </c>
      <c r="H13" s="1" t="n">
        <f aca="false">SMALL(Frequency!D2:D50,2)</f>
        <v>2</v>
      </c>
      <c r="J13" s="1" t="n">
        <f aca="false">INDEX(Frequency!$A$2:$A$56,MATCH(SMALL(Frequency!E2:E56,2),Frequency!E2:E56,0))</f>
        <v>14</v>
      </c>
      <c r="K13" s="1" t="n">
        <f aca="false">SMALL(Frequency!E2:E56,2)</f>
        <v>1</v>
      </c>
      <c r="M13" s="1" t="n">
        <f aca="false">INDEX(Frequency!$A$2:$A$59,MATCH(SMALL(Frequency!F2:F59,2),Frequency!F2:F59,0))</f>
        <v>18</v>
      </c>
      <c r="N13" s="1" t="n">
        <f aca="false">SMALL(Frequency!F2:F59,2)</f>
        <v>1</v>
      </c>
    </row>
    <row r="14" customFormat="false" ht="15" hidden="false" customHeight="true" outlineLevel="0" collapsed="false">
      <c r="A14" s="1" t="n">
        <f aca="false">INDEX(Frequency!$A$2:$A$43,MATCH(SMALL(Frequency!B2:B43,3),Frequency!B2:B43,0))</f>
        <v>14</v>
      </c>
      <c r="B14" s="1" t="n">
        <f aca="false">SMALL(Frequency!B2:B43,3)</f>
        <v>3</v>
      </c>
      <c r="D14" s="1" t="n">
        <f aca="false">INDEX(Frequency!$A$2:$A$46,MATCH(SMALL(Frequency!C2:C46,3),Frequency!C2:C46,0))</f>
        <v>26</v>
      </c>
      <c r="E14" s="1" t="n">
        <f aca="false">SMALL(Frequency!C2:C46,3)</f>
        <v>2</v>
      </c>
      <c r="G14" s="1" t="n">
        <f aca="false">INDEX(Frequency!$A$2:$A$50,MATCH(SMALL(Frequency!D2:D50,3),Frequency!D2:D50,0))</f>
        <v>5</v>
      </c>
      <c r="H14" s="1" t="n">
        <f aca="false">SMALL(Frequency!D2:D50,3)</f>
        <v>3</v>
      </c>
      <c r="J14" s="1" t="n">
        <f aca="false">INDEX(Frequency!$A$2:$A$56,MATCH(SMALL(Frequency!E2:E56,3),Frequency!E2:E56,0))</f>
        <v>6</v>
      </c>
      <c r="K14" s="1" t="n">
        <f aca="false">SMALL(Frequency!E2:E56,3)</f>
        <v>2</v>
      </c>
      <c r="M14" s="1" t="n">
        <f aca="false">INDEX(Frequency!$A$2:$A$59,MATCH(SMALL(Frequency!F2:F59,3),Frequency!F2:F59,0))</f>
        <v>18</v>
      </c>
      <c r="N14" s="1" t="n">
        <f aca="false">SMALL(Frequency!F2:F59,3)</f>
        <v>1</v>
      </c>
    </row>
    <row r="15" customFormat="false" ht="15" hidden="false" customHeight="true" outlineLevel="0" collapsed="false">
      <c r="A15" s="1" t="n">
        <f aca="false">INDEX(Frequency!$A$2:$A$43,MATCH(SMALL(Frequency!B2:B43,4),Frequency!B2:B43,0))</f>
        <v>14</v>
      </c>
      <c r="B15" s="1" t="n">
        <f aca="false">SMALL(Frequency!B2:B43,4)</f>
        <v>3</v>
      </c>
      <c r="D15" s="1" t="n">
        <f aca="false">INDEX(Frequency!$A$2:$A$46,MATCH(SMALL(Frequency!C2:C46,4),Frequency!C2:C46,0))</f>
        <v>2</v>
      </c>
      <c r="E15" s="1" t="n">
        <f aca="false">SMALL(Frequency!C2:C46,4)</f>
        <v>3</v>
      </c>
      <c r="G15" s="1" t="n">
        <f aca="false">INDEX(Frequency!$A$2:$A$50,MATCH(SMALL(Frequency!D2:D50,4),Frequency!D2:D50,0))</f>
        <v>5</v>
      </c>
      <c r="H15" s="1" t="n">
        <f aca="false">SMALL(Frequency!D2:D50,4)</f>
        <v>3</v>
      </c>
      <c r="J15" s="1" t="n">
        <f aca="false">INDEX(Frequency!$A$2:$A$56,MATCH(SMALL(Frequency!E2:E56,4),Frequency!E2:E56,0))</f>
        <v>6</v>
      </c>
      <c r="K15" s="1" t="n">
        <f aca="false">SMALL(Frequency!E2:E56,4)</f>
        <v>2</v>
      </c>
      <c r="M15" s="1" t="n">
        <f aca="false">INDEX(Frequency!$A$2:$A$59,MATCH(SMALL(Frequency!F2:F59,4),Frequency!F2:F59,0))</f>
        <v>10</v>
      </c>
      <c r="N15" s="1" t="n">
        <f aca="false">SMALL(Frequency!F2:F59,4)</f>
        <v>2</v>
      </c>
    </row>
    <row r="16" customFormat="false" ht="15" hidden="false" customHeight="true" outlineLevel="0" collapsed="false">
      <c r="A16" s="1" t="n">
        <f aca="false">INDEX(Frequency!$A$2:$A$43,MATCH(SMALL(Frequency!B2:B43,5),Frequency!B2:B43,0))</f>
        <v>4</v>
      </c>
      <c r="B16" s="1" t="n">
        <f aca="false">SMALL(Frequency!B2:B43,5)</f>
        <v>4</v>
      </c>
      <c r="D16" s="1" t="n">
        <f aca="false">INDEX(Frequency!$A$2:$A$46,MATCH(SMALL(Frequency!C2:C46,5),Frequency!C2:C46,0))</f>
        <v>2</v>
      </c>
      <c r="E16" s="1" t="n">
        <f aca="false">SMALL(Frequency!C2:C46,5)</f>
        <v>3</v>
      </c>
      <c r="G16" s="1" t="n">
        <f aca="false">INDEX(Frequency!$A$2:$A$50,MATCH(SMALL(Frequency!D2:D50,5),Frequency!D2:D50,0))</f>
        <v>5</v>
      </c>
      <c r="H16" s="1" t="n">
        <f aca="false">SMALL(Frequency!D2:D50,5)</f>
        <v>3</v>
      </c>
      <c r="J16" s="1" t="n">
        <f aca="false">INDEX(Frequency!$A$2:$A$56,MATCH(SMALL(Frequency!E2:E56,5),Frequency!E2:E56,0))</f>
        <v>6</v>
      </c>
      <c r="K16" s="1" t="n">
        <f aca="false">SMALL(Frequency!E2:E56,5)</f>
        <v>2</v>
      </c>
      <c r="M16" s="1" t="n">
        <f aca="false">INDEX(Frequency!$A$2:$A$59,MATCH(SMALL(Frequency!F2:F59,5),Frequency!F2:F59,0))</f>
        <v>10</v>
      </c>
      <c r="N16" s="1" t="n">
        <f aca="false">SMALL(Frequency!F2:F59,5)</f>
        <v>2</v>
      </c>
    </row>
    <row r="18" customFormat="false" ht="15" hidden="false" customHeight="true" outlineLevel="0" collapsed="false">
      <c r="A18" s="8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18"/>
    <col collapsed="false" customWidth="true" hidden="false" outlineLevel="0" max="10" min="10" style="1" width="22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5" t="s">
        <v>18</v>
      </c>
      <c r="B1" s="5" t="s">
        <v>19</v>
      </c>
      <c r="C1" s="5" t="s">
        <v>149</v>
      </c>
      <c r="D1" s="5" t="s">
        <v>150</v>
      </c>
      <c r="E1" s="5" t="s">
        <v>151</v>
      </c>
      <c r="F1" s="5" t="s">
        <v>152</v>
      </c>
      <c r="G1" s="5" t="s">
        <v>153</v>
      </c>
      <c r="H1" s="5" t="s">
        <v>154</v>
      </c>
      <c r="I1" s="5" t="s">
        <v>155</v>
      </c>
      <c r="J1" s="5" t="s">
        <v>156</v>
      </c>
      <c r="K1" s="5" t="s">
        <v>157</v>
      </c>
    </row>
    <row r="2" customFormat="false" ht="15" hidden="false" customHeight="true" outlineLevel="0" collapsed="false">
      <c r="A2" s="1" t="s">
        <v>26</v>
      </c>
      <c r="B2" s="1" t="s">
        <v>27</v>
      </c>
      <c r="C2" s="1" t="n">
        <v>-37.24</v>
      </c>
      <c r="D2" s="1" t="n">
        <v>113.3</v>
      </c>
      <c r="E2" s="1" t="n">
        <v>0.583</v>
      </c>
      <c r="F2" s="1" t="n">
        <v>408208</v>
      </c>
      <c r="G2" s="1" t="s">
        <v>158</v>
      </c>
      <c r="H2" s="1" t="n">
        <v>-42.99</v>
      </c>
      <c r="I2" s="1" t="n">
        <v>0.4087</v>
      </c>
      <c r="J2" s="6" t="n">
        <v>2.667</v>
      </c>
      <c r="K2" s="6" t="n">
        <v>2.667</v>
      </c>
    </row>
    <row r="3" customFormat="false" ht="15" hidden="false" customHeight="true" outlineLevel="0" collapsed="false">
      <c r="A3" s="1" t="s">
        <v>26</v>
      </c>
      <c r="B3" s="1" t="s">
        <v>28</v>
      </c>
      <c r="C3" s="1" t="n">
        <v>-58.54</v>
      </c>
      <c r="D3" s="1" t="n">
        <v>120.2</v>
      </c>
      <c r="E3" s="1" t="n">
        <v>0.394</v>
      </c>
      <c r="F3" s="1" t="n">
        <v>407286</v>
      </c>
      <c r="G3" s="1" t="s">
        <v>159</v>
      </c>
      <c r="H3" s="1" t="n">
        <v>-42.89</v>
      </c>
      <c r="I3" s="1" t="n">
        <v>0.5635</v>
      </c>
      <c r="J3" s="6" t="n">
        <v>2</v>
      </c>
      <c r="K3" s="6" t="n">
        <v>1.792</v>
      </c>
    </row>
    <row r="4" customFormat="false" ht="15" hidden="false" customHeight="true" outlineLevel="0" collapsed="false">
      <c r="A4" s="1" t="s">
        <v>26</v>
      </c>
      <c r="B4" s="1" t="s">
        <v>29</v>
      </c>
      <c r="C4" s="1" t="n">
        <v>-79.19</v>
      </c>
      <c r="D4" s="1" t="n">
        <v>147.3</v>
      </c>
      <c r="E4" s="1" t="n">
        <v>0.215</v>
      </c>
      <c r="F4" s="1" t="n">
        <v>400968</v>
      </c>
      <c r="G4" s="1" t="s">
        <v>160</v>
      </c>
      <c r="H4" s="1" t="n">
        <v>-42.78</v>
      </c>
      <c r="I4" s="1" t="n">
        <v>0.5357</v>
      </c>
      <c r="J4" s="6" t="n">
        <v>5</v>
      </c>
      <c r="K4" s="6" t="n">
        <v>4.5</v>
      </c>
    </row>
    <row r="5" customFormat="false" ht="15" hidden="false" customHeight="true" outlineLevel="0" collapsed="false">
      <c r="A5" s="1" t="s">
        <v>26</v>
      </c>
      <c r="B5" s="1" t="s">
        <v>30</v>
      </c>
      <c r="C5" s="1" t="n">
        <v>-62.24</v>
      </c>
      <c r="D5" s="1" t="n">
        <v>278.6</v>
      </c>
      <c r="E5" s="1" t="n">
        <v>0.028</v>
      </c>
      <c r="F5" s="1" t="n">
        <v>385532</v>
      </c>
      <c r="G5" s="1" t="s">
        <v>161</v>
      </c>
      <c r="H5" s="1" t="n">
        <v>-42.61</v>
      </c>
      <c r="I5" s="1" t="n">
        <v>0.4405</v>
      </c>
      <c r="J5" s="6" t="n">
        <v>0.667</v>
      </c>
      <c r="K5" s="6" t="n">
        <v>0.833</v>
      </c>
    </row>
    <row r="6" customFormat="false" ht="15" hidden="false" customHeight="true" outlineLevel="0" collapsed="false">
      <c r="A6" s="1" t="s">
        <v>26</v>
      </c>
      <c r="B6" s="1" t="s">
        <v>31</v>
      </c>
      <c r="C6" s="1" t="n">
        <v>-37.09</v>
      </c>
      <c r="D6" s="1" t="n">
        <v>286.6</v>
      </c>
      <c r="E6" s="1" t="n">
        <v>0.004</v>
      </c>
      <c r="F6" s="1" t="n">
        <v>375440</v>
      </c>
      <c r="G6" s="1" t="s">
        <v>162</v>
      </c>
      <c r="H6" s="1" t="n">
        <v>-42.49</v>
      </c>
      <c r="I6" s="1" t="n">
        <v>0.5873</v>
      </c>
      <c r="J6" s="6" t="n">
        <v>1</v>
      </c>
      <c r="K6" s="6" t="n">
        <v>0.333</v>
      </c>
    </row>
    <row r="7" customFormat="false" ht="15" hidden="false" customHeight="true" outlineLevel="0" collapsed="false">
      <c r="A7" s="1" t="s">
        <v>26</v>
      </c>
      <c r="B7" s="1" t="s">
        <v>32</v>
      </c>
      <c r="C7" s="1" t="n">
        <v>-10.58</v>
      </c>
      <c r="D7" s="1" t="n">
        <v>290.3</v>
      </c>
      <c r="E7" s="1" t="n">
        <v>0.082</v>
      </c>
      <c r="F7" s="1" t="n">
        <v>368448</v>
      </c>
      <c r="G7" s="1" t="s">
        <v>163</v>
      </c>
      <c r="H7" s="1" t="n">
        <v>-42.36</v>
      </c>
      <c r="I7" s="1" t="n">
        <v>0.4881</v>
      </c>
      <c r="J7" s="6" t="n">
        <v>3.333</v>
      </c>
      <c r="K7" s="6" t="n">
        <v>4.292</v>
      </c>
    </row>
    <row r="8" customFormat="false" ht="15" hidden="false" customHeight="true" outlineLevel="0" collapsed="false">
      <c r="A8" s="1" t="s">
        <v>26</v>
      </c>
      <c r="B8" s="1" t="s">
        <v>33</v>
      </c>
      <c r="C8" s="1" t="n">
        <v>30.01</v>
      </c>
      <c r="D8" s="1" t="n">
        <v>294.2</v>
      </c>
      <c r="E8" s="1" t="n">
        <v>0.358</v>
      </c>
      <c r="F8" s="1" t="n">
        <v>365497</v>
      </c>
      <c r="G8" s="1" t="s">
        <v>164</v>
      </c>
      <c r="H8" s="1" t="n">
        <v>-42.15</v>
      </c>
      <c r="I8" s="1" t="n">
        <v>0.6349</v>
      </c>
      <c r="J8" s="6" t="n">
        <v>3</v>
      </c>
      <c r="K8" s="6" t="n">
        <v>3</v>
      </c>
    </row>
    <row r="9" customFormat="false" ht="15" hidden="false" customHeight="true" outlineLevel="0" collapsed="false">
      <c r="A9" s="1" t="s">
        <v>26</v>
      </c>
      <c r="B9" s="1" t="s">
        <v>34</v>
      </c>
      <c r="C9" s="1" t="n">
        <v>56.7</v>
      </c>
      <c r="D9" s="1" t="n">
        <v>297</v>
      </c>
      <c r="E9" s="1" t="n">
        <v>0.585</v>
      </c>
      <c r="F9" s="1" t="n">
        <v>367702</v>
      </c>
      <c r="G9" s="1" t="s">
        <v>165</v>
      </c>
      <c r="H9" s="1" t="n">
        <v>-42</v>
      </c>
      <c r="I9" s="1" t="n">
        <v>0.4683</v>
      </c>
      <c r="J9" s="6" t="n">
        <v>2.333</v>
      </c>
      <c r="K9" s="6" t="n">
        <v>2.125</v>
      </c>
    </row>
    <row r="10" customFormat="false" ht="15" hidden="false" customHeight="true" outlineLevel="0" collapsed="false">
      <c r="A10" s="1" t="s">
        <v>26</v>
      </c>
      <c r="B10" s="1" t="s">
        <v>35</v>
      </c>
      <c r="C10" s="1" t="n">
        <v>82.65</v>
      </c>
      <c r="D10" s="1" t="n">
        <v>309.6</v>
      </c>
      <c r="E10" s="1" t="n">
        <v>0.788</v>
      </c>
      <c r="F10" s="1" t="n">
        <v>372301</v>
      </c>
      <c r="G10" s="1" t="s">
        <v>166</v>
      </c>
      <c r="H10" s="1" t="n">
        <v>-41.84</v>
      </c>
      <c r="I10" s="1" t="n">
        <v>0.2063</v>
      </c>
      <c r="J10" s="6" t="n">
        <v>1.333</v>
      </c>
      <c r="K10" s="6" t="n">
        <v>2.125</v>
      </c>
    </row>
    <row r="11" customFormat="false" ht="15" hidden="false" customHeight="true" outlineLevel="0" collapsed="false">
      <c r="A11" s="1" t="s">
        <v>26</v>
      </c>
      <c r="B11" s="1" t="s">
        <v>36</v>
      </c>
      <c r="C11" s="1" t="n">
        <v>59.3</v>
      </c>
      <c r="D11" s="1" t="n">
        <v>112.5</v>
      </c>
      <c r="E11" s="1" t="n">
        <v>0.975</v>
      </c>
      <c r="F11" s="1" t="n">
        <v>382803</v>
      </c>
      <c r="G11" s="1" t="s">
        <v>167</v>
      </c>
      <c r="H11" s="1" t="n">
        <v>-41.58</v>
      </c>
      <c r="I11" s="1" t="n">
        <v>0.4405</v>
      </c>
      <c r="J11" s="6" t="n">
        <v>2</v>
      </c>
      <c r="K11" s="6" t="n">
        <v>1.625</v>
      </c>
    </row>
    <row r="12" customFormat="false" ht="15" hidden="false" customHeight="true" outlineLevel="0" collapsed="false">
      <c r="A12" s="1" t="s">
        <v>26</v>
      </c>
      <c r="B12" s="1" t="s">
        <v>37</v>
      </c>
      <c r="C12" s="1" t="n">
        <v>-20.9</v>
      </c>
      <c r="D12" s="1" t="n">
        <v>114.9</v>
      </c>
      <c r="E12" s="1" t="n">
        <v>0.744</v>
      </c>
      <c r="F12" s="1" t="n">
        <v>407177</v>
      </c>
      <c r="G12" s="1" t="s">
        <v>159</v>
      </c>
      <c r="H12" s="1" t="n">
        <v>-40.91</v>
      </c>
      <c r="I12" s="1" t="n">
        <v>0.5476</v>
      </c>
      <c r="J12" s="6" t="n">
        <v>1.667</v>
      </c>
      <c r="K12" s="6" t="n">
        <v>1.833</v>
      </c>
    </row>
    <row r="13" customFormat="false" ht="15" hidden="false" customHeight="true" outlineLevel="0" collapsed="false">
      <c r="A13" s="1" t="s">
        <v>26</v>
      </c>
      <c r="B13" s="1" t="s">
        <v>38</v>
      </c>
      <c r="C13" s="1" t="n">
        <v>-42.69</v>
      </c>
      <c r="D13" s="1" t="n">
        <v>113.5</v>
      </c>
      <c r="E13" s="1" t="n">
        <v>0.565</v>
      </c>
      <c r="F13" s="1" t="n">
        <v>406393</v>
      </c>
      <c r="G13" s="1" t="s">
        <v>168</v>
      </c>
      <c r="H13" s="1" t="n">
        <v>-40.7</v>
      </c>
      <c r="I13" s="1" t="n">
        <v>0.4127</v>
      </c>
      <c r="J13" s="6" t="n">
        <v>2.333</v>
      </c>
      <c r="K13" s="6" t="n">
        <v>1.542</v>
      </c>
    </row>
    <row r="14" customFormat="false" ht="15" hidden="false" customHeight="true" outlineLevel="0" collapsed="false">
      <c r="A14" s="1" t="s">
        <v>26</v>
      </c>
      <c r="B14" s="1" t="s">
        <v>39</v>
      </c>
      <c r="C14" s="1" t="n">
        <v>-64.85</v>
      </c>
      <c r="D14" s="1" t="n">
        <v>108.8</v>
      </c>
      <c r="E14" s="1" t="n">
        <v>0.372</v>
      </c>
      <c r="F14" s="1" t="n">
        <v>400275</v>
      </c>
      <c r="G14" s="1" t="s">
        <v>169</v>
      </c>
      <c r="H14" s="1" t="n">
        <v>-40.48</v>
      </c>
      <c r="I14" s="1" t="n">
        <v>0.6151</v>
      </c>
      <c r="J14" s="6" t="n">
        <v>2.333</v>
      </c>
      <c r="K14" s="6" t="n">
        <v>2.417</v>
      </c>
    </row>
    <row r="15" customFormat="false" ht="15" hidden="false" customHeight="true" outlineLevel="0" collapsed="false">
      <c r="A15" s="1" t="s">
        <v>26</v>
      </c>
      <c r="B15" s="1" t="s">
        <v>40</v>
      </c>
      <c r="C15" s="1" t="n">
        <v>-78.03</v>
      </c>
      <c r="D15" s="1" t="n">
        <v>320.6</v>
      </c>
      <c r="E15" s="1" t="n">
        <v>0.112</v>
      </c>
      <c r="F15" s="1" t="n">
        <v>383959</v>
      </c>
      <c r="G15" s="1" t="s">
        <v>170</v>
      </c>
      <c r="H15" s="1" t="n">
        <v>-40.14</v>
      </c>
      <c r="I15" s="1" t="n">
        <v>0.2778</v>
      </c>
      <c r="J15" s="6" t="n">
        <v>1.333</v>
      </c>
      <c r="K15" s="6" t="n">
        <v>0.667</v>
      </c>
    </row>
    <row r="16" customFormat="false" ht="15" hidden="false" customHeight="true" outlineLevel="0" collapsed="false">
      <c r="A16" s="1" t="s">
        <v>26</v>
      </c>
      <c r="B16" s="1" t="s">
        <v>41</v>
      </c>
      <c r="C16" s="1" t="n">
        <v>-52.69</v>
      </c>
      <c r="D16" s="1" t="n">
        <v>304.9</v>
      </c>
      <c r="E16" s="1" t="n">
        <v>0.013</v>
      </c>
      <c r="F16" s="1" t="n">
        <v>372585</v>
      </c>
      <c r="G16" s="1" t="s">
        <v>171</v>
      </c>
      <c r="H16" s="1" t="n">
        <v>-39.9</v>
      </c>
      <c r="I16" s="1" t="n">
        <v>0.5556</v>
      </c>
      <c r="J16" s="6" t="n">
        <v>0.333</v>
      </c>
      <c r="K16" s="6" t="n">
        <v>0.5</v>
      </c>
    </row>
    <row r="17" customFormat="false" ht="15" hidden="false" customHeight="true" outlineLevel="0" collapsed="false">
      <c r="A17" s="1" t="s">
        <v>26</v>
      </c>
      <c r="B17" s="1" t="s">
        <v>42</v>
      </c>
      <c r="C17" s="1" t="n">
        <v>-25.52</v>
      </c>
      <c r="D17" s="1" t="n">
        <v>300.7</v>
      </c>
      <c r="E17" s="1" t="n">
        <v>0.018</v>
      </c>
      <c r="F17" s="1" t="n">
        <v>364779</v>
      </c>
      <c r="G17" s="1" t="s">
        <v>172</v>
      </c>
      <c r="H17" s="1" t="n">
        <v>-39.65</v>
      </c>
      <c r="I17" s="1" t="n">
        <v>0.6468</v>
      </c>
      <c r="J17" s="6" t="n">
        <v>3.667</v>
      </c>
      <c r="K17" s="6" t="n">
        <v>4.208</v>
      </c>
    </row>
    <row r="18" customFormat="false" ht="15" hidden="false" customHeight="true" outlineLevel="0" collapsed="false">
      <c r="A18" s="1" t="s">
        <v>26</v>
      </c>
      <c r="B18" s="1" t="s">
        <v>43</v>
      </c>
      <c r="C18" s="1" t="n">
        <v>15.98</v>
      </c>
      <c r="D18" s="1" t="n">
        <v>295.6</v>
      </c>
      <c r="E18" s="1" t="n">
        <v>0.224</v>
      </c>
      <c r="F18" s="1" t="n">
        <v>363416</v>
      </c>
      <c r="G18" s="1" t="s">
        <v>173</v>
      </c>
      <c r="H18" s="1" t="n">
        <v>-39.27</v>
      </c>
      <c r="I18" s="1" t="n">
        <v>0.373</v>
      </c>
      <c r="J18" s="6" t="n">
        <v>3.667</v>
      </c>
      <c r="K18" s="6" t="n">
        <v>3.208</v>
      </c>
    </row>
    <row r="19" customFormat="false" ht="15" hidden="false" customHeight="true" outlineLevel="0" collapsed="false">
      <c r="A19" s="1" t="s">
        <v>26</v>
      </c>
      <c r="B19" s="1" t="s">
        <v>44</v>
      </c>
      <c r="C19" s="1" t="n">
        <v>42.5</v>
      </c>
      <c r="D19" s="1" t="n">
        <v>289.7</v>
      </c>
      <c r="E19" s="1" t="n">
        <v>0.439</v>
      </c>
      <c r="F19" s="1" t="n">
        <v>368252</v>
      </c>
      <c r="G19" s="1" t="s">
        <v>163</v>
      </c>
      <c r="H19" s="1" t="n">
        <v>-39.01</v>
      </c>
      <c r="I19" s="1" t="n">
        <v>0.5714</v>
      </c>
      <c r="J19" s="6" t="n">
        <v>1.333</v>
      </c>
      <c r="K19" s="6" t="n">
        <v>1.583</v>
      </c>
    </row>
    <row r="20" customFormat="false" ht="15" hidden="false" customHeight="true" outlineLevel="0" collapsed="false">
      <c r="A20" s="1" t="s">
        <v>26</v>
      </c>
      <c r="B20" s="1" t="s">
        <v>45</v>
      </c>
      <c r="C20" s="1" t="n">
        <v>66.92</v>
      </c>
      <c r="D20" s="1" t="n">
        <v>273.8</v>
      </c>
      <c r="E20" s="1" t="n">
        <v>0.656</v>
      </c>
      <c r="F20" s="1" t="n">
        <v>375335</v>
      </c>
      <c r="G20" s="1" t="s">
        <v>162</v>
      </c>
      <c r="H20" s="1" t="n">
        <v>-38.75</v>
      </c>
      <c r="I20" s="1" t="n">
        <v>0.4643</v>
      </c>
      <c r="J20" s="6" t="n">
        <v>1</v>
      </c>
      <c r="K20" s="6" t="n">
        <v>1.833</v>
      </c>
    </row>
    <row r="21" customFormat="false" ht="15" hidden="false" customHeight="true" outlineLevel="0" collapsed="false">
      <c r="A21" s="1" t="s">
        <v>26</v>
      </c>
      <c r="B21" s="1" t="s">
        <v>46</v>
      </c>
      <c r="C21" s="1" t="n">
        <v>70.4</v>
      </c>
      <c r="D21" s="1" t="n">
        <v>153.4</v>
      </c>
      <c r="E21" s="1" t="n">
        <v>0.903</v>
      </c>
      <c r="F21" s="1" t="n">
        <v>386923</v>
      </c>
      <c r="G21" s="1" t="s">
        <v>174</v>
      </c>
      <c r="H21" s="1" t="n">
        <v>-38.34</v>
      </c>
      <c r="I21" s="1" t="n">
        <v>0.4921</v>
      </c>
      <c r="J21" s="6" t="n">
        <v>0.667</v>
      </c>
      <c r="K21" s="6" t="n">
        <v>0.458</v>
      </c>
    </row>
    <row r="22" customFormat="false" ht="15" hidden="false" customHeight="true" outlineLevel="0" collapsed="false">
      <c r="A22" s="1" t="s">
        <v>26</v>
      </c>
      <c r="B22" s="1" t="s">
        <v>47</v>
      </c>
      <c r="C22" s="1" t="n">
        <v>48.92</v>
      </c>
      <c r="D22" s="1" t="n">
        <v>133.5</v>
      </c>
      <c r="E22" s="1" t="n">
        <v>0.985</v>
      </c>
      <c r="F22" s="1" t="n">
        <v>394275</v>
      </c>
      <c r="G22" s="1" t="s">
        <v>175</v>
      </c>
      <c r="H22" s="1" t="n">
        <v>-38.06</v>
      </c>
      <c r="I22" s="1" t="n">
        <v>0.7262</v>
      </c>
      <c r="J22" s="6" t="n">
        <v>2.333</v>
      </c>
      <c r="K22" s="6" t="n">
        <v>2.417</v>
      </c>
    </row>
    <row r="23" customFormat="false" ht="15" hidden="false" customHeight="true" outlineLevel="0" collapsed="false">
      <c r="A23" s="1" t="s">
        <v>26</v>
      </c>
      <c r="B23" s="1" t="s">
        <v>48</v>
      </c>
      <c r="C23" s="1" t="n">
        <v>26.96</v>
      </c>
      <c r="D23" s="1" t="n">
        <v>126</v>
      </c>
      <c r="E23" s="1" t="n">
        <v>0.992</v>
      </c>
      <c r="F23" s="1" t="n">
        <v>400671</v>
      </c>
      <c r="G23" s="1" t="s">
        <v>176</v>
      </c>
      <c r="H23" s="1" t="n">
        <v>-37.79</v>
      </c>
      <c r="I23" s="1" t="n">
        <v>0.5754</v>
      </c>
      <c r="J23" s="6" t="n">
        <v>1.333</v>
      </c>
      <c r="K23" s="6" t="n">
        <v>1.667</v>
      </c>
    </row>
    <row r="24" customFormat="false" ht="15" hidden="false" customHeight="true" outlineLevel="0" collapsed="false">
      <c r="A24" s="1" t="s">
        <v>26</v>
      </c>
      <c r="B24" s="1" t="s">
        <v>49</v>
      </c>
      <c r="C24" s="1" t="n">
        <v>-4.83</v>
      </c>
      <c r="D24" s="1" t="n">
        <v>117.9</v>
      </c>
      <c r="E24" s="1" t="n">
        <v>0.871</v>
      </c>
      <c r="F24" s="1" t="n">
        <v>406203</v>
      </c>
      <c r="G24" s="1" t="s">
        <v>168</v>
      </c>
      <c r="H24" s="1" t="n">
        <v>-37.37</v>
      </c>
      <c r="I24" s="1" t="n">
        <v>0.3452</v>
      </c>
      <c r="J24" s="6" t="n">
        <v>0.667</v>
      </c>
      <c r="K24" s="6" t="n">
        <v>1.833</v>
      </c>
    </row>
    <row r="25" customFormat="false" ht="15" hidden="false" customHeight="true" outlineLevel="0" collapsed="false">
      <c r="A25" s="1" t="s">
        <v>26</v>
      </c>
      <c r="B25" s="1" t="s">
        <v>50</v>
      </c>
      <c r="C25" s="1" t="n">
        <v>-26.29</v>
      </c>
      <c r="D25" s="1" t="n">
        <v>111.5</v>
      </c>
      <c r="E25" s="1" t="n">
        <v>0.722</v>
      </c>
      <c r="F25" s="1" t="n">
        <v>405290</v>
      </c>
      <c r="G25" s="1" t="s">
        <v>177</v>
      </c>
      <c r="H25" s="1" t="n">
        <v>-37.08</v>
      </c>
      <c r="I25" s="1" t="n">
        <v>0.5992</v>
      </c>
      <c r="J25" s="6" t="n">
        <v>0.667</v>
      </c>
      <c r="K25" s="6" t="n">
        <v>1.375</v>
      </c>
    </row>
    <row r="26" customFormat="false" ht="15" hidden="false" customHeight="true" outlineLevel="0" collapsed="false">
      <c r="A26" s="1" t="s">
        <v>26</v>
      </c>
      <c r="B26" s="1" t="s">
        <v>51</v>
      </c>
      <c r="C26" s="1" t="n">
        <v>-47.07</v>
      </c>
      <c r="D26" s="1" t="n">
        <v>101</v>
      </c>
      <c r="E26" s="1" t="n">
        <v>0.537</v>
      </c>
      <c r="F26" s="1" t="n">
        <v>399695</v>
      </c>
      <c r="G26" s="1" t="s">
        <v>178</v>
      </c>
      <c r="H26" s="1" t="n">
        <v>-36.8</v>
      </c>
      <c r="I26" s="1" t="n">
        <v>0.4127</v>
      </c>
      <c r="J26" s="6" t="n">
        <v>0.667</v>
      </c>
      <c r="K26" s="6" t="n">
        <v>1.083</v>
      </c>
    </row>
    <row r="27" customFormat="false" ht="15" hidden="false" customHeight="true" outlineLevel="0" collapsed="false">
      <c r="A27" s="1" t="s">
        <v>26</v>
      </c>
      <c r="B27" s="1" t="s">
        <v>52</v>
      </c>
      <c r="C27" s="1" t="n">
        <v>-71.84</v>
      </c>
      <c r="D27" s="1" t="n">
        <v>44.1</v>
      </c>
      <c r="E27" s="1" t="n">
        <v>0.237</v>
      </c>
      <c r="F27" s="1" t="n">
        <v>383859</v>
      </c>
      <c r="G27" s="1" t="s">
        <v>170</v>
      </c>
      <c r="H27" s="1" t="n">
        <v>-36.38</v>
      </c>
      <c r="I27" s="1" t="n">
        <v>0.6627</v>
      </c>
      <c r="J27" s="6" t="n">
        <v>1</v>
      </c>
      <c r="K27" s="6" t="n">
        <v>0.708</v>
      </c>
    </row>
    <row r="28" customFormat="false" ht="15" hidden="false" customHeight="true" outlineLevel="0" collapsed="false">
      <c r="A28" s="1" t="s">
        <v>26</v>
      </c>
      <c r="B28" s="1" t="s">
        <v>53</v>
      </c>
      <c r="C28" s="1" t="n">
        <v>-62.1</v>
      </c>
      <c r="D28" s="1" t="n">
        <v>338.1</v>
      </c>
      <c r="E28" s="1" t="n">
        <v>0.076</v>
      </c>
      <c r="F28" s="1" t="n">
        <v>371871</v>
      </c>
      <c r="G28" s="1" t="s">
        <v>179</v>
      </c>
      <c r="H28" s="1" t="n">
        <v>-36.1</v>
      </c>
      <c r="I28" s="1" t="n">
        <v>0.619</v>
      </c>
      <c r="J28" s="6" t="n">
        <v>0.667</v>
      </c>
      <c r="K28" s="6" t="n">
        <v>1.167</v>
      </c>
    </row>
    <row r="29" customFormat="false" ht="15" hidden="false" customHeight="true" outlineLevel="0" collapsed="false">
      <c r="A29" s="1" t="s">
        <v>26</v>
      </c>
      <c r="B29" s="1" t="s">
        <v>54</v>
      </c>
      <c r="C29" s="1" t="n">
        <v>-38.43</v>
      </c>
      <c r="D29" s="1" t="n">
        <v>315</v>
      </c>
      <c r="E29" s="1" t="n">
        <v>0.003</v>
      </c>
      <c r="F29" s="1" t="n">
        <v>363013</v>
      </c>
      <c r="G29" s="1" t="s">
        <v>180</v>
      </c>
      <c r="H29" s="1" t="n">
        <v>-35.82</v>
      </c>
      <c r="I29" s="1" t="n">
        <v>0.5159</v>
      </c>
      <c r="J29" s="6" t="n">
        <v>2.667</v>
      </c>
      <c r="K29" s="6" t="n">
        <v>4.125</v>
      </c>
    </row>
    <row r="30" customFormat="false" ht="15" hidden="false" customHeight="true" outlineLevel="0" collapsed="false">
      <c r="A30" s="1" t="s">
        <v>26</v>
      </c>
      <c r="B30" s="1" t="s">
        <v>55</v>
      </c>
      <c r="C30" s="1" t="n">
        <v>1.4</v>
      </c>
      <c r="D30" s="1" t="n">
        <v>297.9</v>
      </c>
      <c r="E30" s="1" t="n">
        <v>0.11</v>
      </c>
      <c r="F30" s="1" t="n">
        <v>361367</v>
      </c>
      <c r="G30" s="1" t="s">
        <v>181</v>
      </c>
      <c r="H30" s="1" t="n">
        <v>-35.41</v>
      </c>
      <c r="I30" s="1" t="n">
        <v>0.4563</v>
      </c>
      <c r="J30" s="6" t="n">
        <v>4</v>
      </c>
      <c r="K30" s="6" t="n">
        <v>3</v>
      </c>
    </row>
    <row r="31" customFormat="false" ht="15" hidden="false" customHeight="true" outlineLevel="0" collapsed="false">
      <c r="A31" s="1" t="s">
        <v>26</v>
      </c>
      <c r="B31" s="1" t="s">
        <v>56</v>
      </c>
      <c r="C31" s="1" t="n">
        <v>26.24</v>
      </c>
      <c r="D31" s="1" t="n">
        <v>286.6</v>
      </c>
      <c r="E31" s="1" t="n">
        <v>0.295</v>
      </c>
      <c r="F31" s="1" t="n">
        <v>367594</v>
      </c>
      <c r="G31" s="1" t="s">
        <v>182</v>
      </c>
      <c r="H31" s="1" t="n">
        <v>-35.15</v>
      </c>
      <c r="I31" s="1" t="n">
        <v>0.4841</v>
      </c>
      <c r="J31" s="6" t="n">
        <v>2</v>
      </c>
      <c r="K31" s="6" t="n">
        <v>1.667</v>
      </c>
    </row>
    <row r="32" customFormat="false" ht="15" hidden="false" customHeight="true" outlineLevel="0" collapsed="false">
      <c r="A32" s="1" t="s">
        <v>26</v>
      </c>
      <c r="B32" s="1" t="s">
        <v>57</v>
      </c>
      <c r="C32" s="1" t="n">
        <v>48.34</v>
      </c>
      <c r="D32" s="1" t="n">
        <v>269.1</v>
      </c>
      <c r="E32" s="1" t="n">
        <v>0.511</v>
      </c>
      <c r="F32" s="1" t="n">
        <v>376633</v>
      </c>
      <c r="G32" s="1" t="s">
        <v>183</v>
      </c>
      <c r="H32" s="1" t="n">
        <v>-34.89</v>
      </c>
      <c r="I32" s="1" t="n">
        <v>0.25</v>
      </c>
      <c r="J32" s="6" t="n">
        <v>0.333</v>
      </c>
      <c r="K32" s="6" t="n">
        <v>0.291</v>
      </c>
    </row>
    <row r="33" customFormat="false" ht="15" hidden="false" customHeight="true" outlineLevel="0" collapsed="false">
      <c r="A33" s="1" t="s">
        <v>26</v>
      </c>
      <c r="B33" s="1" t="s">
        <v>58</v>
      </c>
      <c r="C33" s="1" t="n">
        <v>65.25</v>
      </c>
      <c r="D33" s="1" t="n">
        <v>206.3</v>
      </c>
      <c r="E33" s="1" t="n">
        <v>0.797</v>
      </c>
      <c r="F33" s="1" t="n">
        <v>389871</v>
      </c>
      <c r="G33" s="1" t="s">
        <v>184</v>
      </c>
      <c r="H33" s="1" t="n">
        <v>-34.51</v>
      </c>
      <c r="I33" s="1" t="n">
        <v>0.5278</v>
      </c>
      <c r="J33" s="6" t="n">
        <v>0.667</v>
      </c>
      <c r="K33" s="6" t="n">
        <v>1.542</v>
      </c>
    </row>
    <row r="34" customFormat="false" ht="15" hidden="false" customHeight="true" outlineLevel="0" collapsed="false">
      <c r="A34" s="1" t="s">
        <v>26</v>
      </c>
      <c r="B34" s="1" t="s">
        <v>59</v>
      </c>
      <c r="C34" s="1" t="n">
        <v>55.69</v>
      </c>
      <c r="D34" s="1" t="n">
        <v>162.4</v>
      </c>
      <c r="E34" s="1" t="n">
        <v>0.927</v>
      </c>
      <c r="F34" s="1" t="n">
        <v>396649</v>
      </c>
      <c r="G34" s="1" t="s">
        <v>185</v>
      </c>
      <c r="H34" s="1" t="n">
        <v>-34.27</v>
      </c>
      <c r="I34" s="1" t="n">
        <v>0.5754</v>
      </c>
      <c r="J34" s="6" t="n">
        <v>2.333</v>
      </c>
      <c r="K34" s="6" t="n">
        <v>2.583</v>
      </c>
    </row>
    <row r="35" customFormat="false" ht="15" hidden="false" customHeight="true" outlineLevel="0" collapsed="false">
      <c r="A35" s="1" t="s">
        <v>26</v>
      </c>
      <c r="B35" s="1" t="s">
        <v>60</v>
      </c>
      <c r="C35" s="1" t="n">
        <v>38.46</v>
      </c>
      <c r="D35" s="1" t="n">
        <v>140.9</v>
      </c>
      <c r="E35" s="1" t="n">
        <v>0.992</v>
      </c>
      <c r="F35" s="1" t="n">
        <v>401452</v>
      </c>
      <c r="G35" s="1" t="s">
        <v>186</v>
      </c>
      <c r="H35" s="1" t="n">
        <v>-34.04</v>
      </c>
      <c r="I35" s="1" t="n">
        <v>0.2937</v>
      </c>
      <c r="J35" s="6" t="n">
        <v>2</v>
      </c>
      <c r="K35" s="6" t="n">
        <v>2.5</v>
      </c>
    </row>
    <row r="36" customFormat="false" ht="15" hidden="false" customHeight="true" outlineLevel="0" collapsed="false">
      <c r="A36" s="1" t="s">
        <v>26</v>
      </c>
      <c r="B36" s="1" t="s">
        <v>61</v>
      </c>
      <c r="C36" s="1" t="n">
        <v>9.86</v>
      </c>
      <c r="D36" s="1" t="n">
        <v>122.3</v>
      </c>
      <c r="E36" s="1" t="n">
        <v>0.956</v>
      </c>
      <c r="F36" s="1" t="n">
        <v>404580</v>
      </c>
      <c r="G36" s="1" t="s">
        <v>187</v>
      </c>
      <c r="H36" s="1" t="n">
        <v>-33.71</v>
      </c>
      <c r="I36" s="1" t="n">
        <v>0.5635</v>
      </c>
      <c r="J36" s="6" t="n">
        <v>1.333</v>
      </c>
      <c r="K36" s="6" t="n">
        <v>1.583</v>
      </c>
    </row>
    <row r="37" customFormat="false" ht="15" hidden="false" customHeight="true" outlineLevel="0" collapsed="false">
      <c r="A37" s="1" t="s">
        <v>26</v>
      </c>
      <c r="B37" s="1" t="s">
        <v>62</v>
      </c>
      <c r="C37" s="1" t="n">
        <v>-9.57</v>
      </c>
      <c r="D37" s="1" t="n">
        <v>111.6</v>
      </c>
      <c r="E37" s="1" t="n">
        <v>0.85</v>
      </c>
      <c r="F37" s="1" t="n">
        <v>403162</v>
      </c>
      <c r="G37" s="1" t="s">
        <v>188</v>
      </c>
      <c r="H37" s="1" t="n">
        <v>-33.51</v>
      </c>
      <c r="I37" s="1" t="n">
        <v>0.4921</v>
      </c>
      <c r="J37" s="6" t="n">
        <v>1.667</v>
      </c>
      <c r="K37" s="6" t="n">
        <v>1.208</v>
      </c>
    </row>
    <row r="38" customFormat="false" ht="15" hidden="false" customHeight="true" outlineLevel="0" collapsed="false">
      <c r="A38" s="1" t="s">
        <v>26</v>
      </c>
      <c r="B38" s="1" t="s">
        <v>63</v>
      </c>
      <c r="C38" s="1" t="n">
        <v>-28.61</v>
      </c>
      <c r="D38" s="1" t="n">
        <v>98.7</v>
      </c>
      <c r="E38" s="1" t="n">
        <v>0.689</v>
      </c>
      <c r="F38" s="1" t="n">
        <v>398165</v>
      </c>
      <c r="G38" s="1" t="s">
        <v>189</v>
      </c>
      <c r="H38" s="1" t="n">
        <v>-33.31</v>
      </c>
      <c r="I38" s="1" t="n">
        <v>0.6984</v>
      </c>
      <c r="J38" s="6" t="n">
        <v>3.667</v>
      </c>
      <c r="K38" s="6" t="n">
        <v>3.208</v>
      </c>
    </row>
    <row r="39" customFormat="false" ht="15" hidden="false" customHeight="true" outlineLevel="0" collapsed="false">
      <c r="A39" s="1" t="s">
        <v>26</v>
      </c>
      <c r="B39" s="1" t="s">
        <v>64</v>
      </c>
      <c r="C39" s="1" t="n">
        <v>-53.6</v>
      </c>
      <c r="D39" s="1" t="n">
        <v>63.6</v>
      </c>
      <c r="E39" s="1" t="n">
        <v>0.383</v>
      </c>
      <c r="F39" s="1" t="n">
        <v>384177</v>
      </c>
      <c r="G39" s="1" t="s">
        <v>190</v>
      </c>
      <c r="H39" s="1" t="n">
        <v>-33.04</v>
      </c>
      <c r="I39" s="1" t="n">
        <v>0.6587</v>
      </c>
      <c r="J39" s="6" t="n">
        <v>2.667</v>
      </c>
      <c r="K39" s="6" t="n">
        <v>2.542</v>
      </c>
    </row>
    <row r="40" customFormat="false" ht="15" hidden="false" customHeight="true" outlineLevel="0" collapsed="false">
      <c r="A40" s="1" t="s">
        <v>26</v>
      </c>
      <c r="B40" s="1" t="s">
        <v>65</v>
      </c>
      <c r="C40" s="1" t="n">
        <v>-59.01</v>
      </c>
      <c r="D40" s="1" t="n">
        <v>17.2</v>
      </c>
      <c r="E40" s="1" t="n">
        <v>0.182</v>
      </c>
      <c r="F40" s="1" t="n">
        <v>372901</v>
      </c>
      <c r="G40" s="1" t="s">
        <v>191</v>
      </c>
      <c r="H40" s="1" t="n">
        <v>-32.88</v>
      </c>
      <c r="I40" s="1" t="n">
        <v>0.4603</v>
      </c>
      <c r="J40" s="6"/>
      <c r="K40" s="6"/>
    </row>
    <row r="41" customFormat="false" ht="15" hidden="false" customHeight="true" outlineLevel="0" collapsed="false">
      <c r="A41" s="1" t="s">
        <v>26</v>
      </c>
      <c r="B41" s="1" t="s">
        <v>66</v>
      </c>
      <c r="C41" s="1" t="n">
        <v>-47.08</v>
      </c>
      <c r="D41" s="1" t="n">
        <v>335.1</v>
      </c>
      <c r="E41" s="1" t="n">
        <v>0.04</v>
      </c>
      <c r="F41" s="1" t="n">
        <v>363809</v>
      </c>
      <c r="G41" s="1" t="s">
        <v>192</v>
      </c>
      <c r="H41" s="1" t="n">
        <v>-32.73</v>
      </c>
      <c r="I41" s="1" t="n">
        <v>0.5556</v>
      </c>
      <c r="J41" s="6"/>
      <c r="K41" s="6"/>
    </row>
    <row r="42" customFormat="false" ht="15" hidden="false" customHeight="true" outlineLevel="0" collapsed="false">
      <c r="A42" s="1" t="s">
        <v>26</v>
      </c>
      <c r="B42" s="1" t="s">
        <v>67</v>
      </c>
      <c r="C42" s="1" t="n">
        <v>-14.5</v>
      </c>
      <c r="D42" s="1" t="n">
        <v>302.1</v>
      </c>
      <c r="E42" s="1" t="n">
        <v>0.032</v>
      </c>
      <c r="F42" s="1" t="n">
        <v>361115</v>
      </c>
      <c r="G42" s="1" t="s">
        <v>193</v>
      </c>
      <c r="H42" s="1" t="n">
        <v>-32.53</v>
      </c>
      <c r="I42" s="1" t="n">
        <v>0.7817</v>
      </c>
      <c r="J42" s="6"/>
      <c r="K42" s="6"/>
    </row>
    <row r="43" customFormat="false" ht="15" hidden="false" customHeight="true" outlineLevel="0" collapsed="false">
      <c r="A43" s="1" t="s">
        <v>68</v>
      </c>
      <c r="B43" s="1" t="s">
        <v>69</v>
      </c>
      <c r="C43" s="1" t="n">
        <v>-47.9</v>
      </c>
      <c r="D43" s="1" t="n">
        <v>116.2</v>
      </c>
      <c r="E43" s="1" t="n">
        <v>0.488</v>
      </c>
      <c r="F43" s="1" t="n">
        <v>408474</v>
      </c>
      <c r="G43" s="1" t="s">
        <v>194</v>
      </c>
      <c r="H43" s="1" t="n">
        <v>-42.94</v>
      </c>
      <c r="I43" s="1" t="n">
        <v>0.5148</v>
      </c>
      <c r="J43" s="6" t="n">
        <v>2.333</v>
      </c>
      <c r="K43" s="6" t="n">
        <v>2.083</v>
      </c>
    </row>
    <row r="44" customFormat="false" ht="15" hidden="false" customHeight="true" outlineLevel="0" collapsed="false">
      <c r="A44" s="1" t="s">
        <v>68</v>
      </c>
      <c r="B44" s="1" t="s">
        <v>70</v>
      </c>
      <c r="C44" s="1" t="n">
        <v>-69.15</v>
      </c>
      <c r="D44" s="1" t="n">
        <v>127.4</v>
      </c>
      <c r="E44" s="1" t="n">
        <v>0.302</v>
      </c>
      <c r="F44" s="1" t="n">
        <v>404724</v>
      </c>
      <c r="G44" s="1" t="s">
        <v>195</v>
      </c>
      <c r="H44" s="1" t="n">
        <v>-42.84</v>
      </c>
      <c r="I44" s="1" t="n">
        <v>0.6333</v>
      </c>
      <c r="J44" s="6" t="n">
        <v>1.667</v>
      </c>
      <c r="K44" s="6" t="n">
        <v>3.25</v>
      </c>
    </row>
    <row r="45" customFormat="false" ht="15" hidden="false" customHeight="true" outlineLevel="0" collapsed="false">
      <c r="A45" s="1" t="s">
        <v>68</v>
      </c>
      <c r="B45" s="1" t="s">
        <v>71</v>
      </c>
      <c r="C45" s="1" t="n">
        <v>-73.86</v>
      </c>
      <c r="D45" s="1" t="n">
        <v>267.6</v>
      </c>
      <c r="E45" s="1" t="n">
        <v>0.074</v>
      </c>
      <c r="F45" s="1" t="n">
        <v>391014</v>
      </c>
      <c r="G45" s="1" t="s">
        <v>196</v>
      </c>
      <c r="H45" s="1" t="n">
        <v>-42.67</v>
      </c>
      <c r="I45" s="1" t="n">
        <v>0.4852</v>
      </c>
      <c r="J45" s="6" t="n">
        <v>2</v>
      </c>
      <c r="K45" s="6" t="n">
        <v>1.917</v>
      </c>
    </row>
    <row r="46" customFormat="false" ht="15" hidden="false" customHeight="true" outlineLevel="0" collapsed="false">
      <c r="A46" s="1" t="s">
        <v>68</v>
      </c>
      <c r="B46" s="1" t="s">
        <v>72</v>
      </c>
      <c r="C46" s="1" t="n">
        <v>-49.89</v>
      </c>
      <c r="D46" s="1" t="n">
        <v>283.6</v>
      </c>
      <c r="E46" s="1" t="n">
        <v>0.003</v>
      </c>
      <c r="F46" s="1" t="n">
        <v>380224</v>
      </c>
      <c r="G46" s="1" t="s">
        <v>197</v>
      </c>
      <c r="H46" s="1" t="n">
        <v>-42.55</v>
      </c>
      <c r="I46" s="1" t="n">
        <v>0.5296</v>
      </c>
      <c r="J46" s="6" t="n">
        <v>0.667</v>
      </c>
      <c r="K46" s="6" t="n">
        <v>0.917</v>
      </c>
    </row>
    <row r="47" customFormat="false" ht="15" hidden="false" customHeight="true" outlineLevel="0" collapsed="false">
      <c r="A47" s="1" t="s">
        <v>68</v>
      </c>
      <c r="B47" s="1" t="s">
        <v>73</v>
      </c>
      <c r="C47" s="1" t="n">
        <v>-23.95</v>
      </c>
      <c r="D47" s="1" t="n">
        <v>288.7</v>
      </c>
      <c r="E47" s="1" t="n">
        <v>0.03</v>
      </c>
      <c r="F47" s="1" t="n">
        <v>371456</v>
      </c>
      <c r="G47" s="1" t="s">
        <v>198</v>
      </c>
      <c r="H47" s="1" t="n">
        <v>-42.42</v>
      </c>
      <c r="I47" s="1" t="n">
        <v>0.4074</v>
      </c>
      <c r="J47" s="6" t="n">
        <v>3</v>
      </c>
      <c r="K47" s="6" t="n">
        <v>3.625</v>
      </c>
    </row>
    <row r="48" customFormat="false" ht="15" hidden="false" customHeight="true" outlineLevel="0" collapsed="false">
      <c r="A48" s="1" t="s">
        <v>68</v>
      </c>
      <c r="B48" s="1" t="s">
        <v>74</v>
      </c>
      <c r="C48" s="1" t="n">
        <v>16.52</v>
      </c>
      <c r="D48" s="1" t="n">
        <v>293</v>
      </c>
      <c r="E48" s="1" t="n">
        <v>0.252</v>
      </c>
      <c r="F48" s="1" t="n">
        <v>365530</v>
      </c>
      <c r="G48" s="1" t="s">
        <v>164</v>
      </c>
      <c r="H48" s="1" t="n">
        <v>-42.22</v>
      </c>
      <c r="I48" s="1" t="n">
        <v>0.4963</v>
      </c>
      <c r="J48" s="6" t="n">
        <v>4.667</v>
      </c>
      <c r="K48" s="6" t="n">
        <v>4.125</v>
      </c>
    </row>
    <row r="49" customFormat="false" ht="15" hidden="false" customHeight="true" outlineLevel="0" collapsed="false">
      <c r="A49" s="1" t="s">
        <v>68</v>
      </c>
      <c r="B49" s="1" t="s">
        <v>75</v>
      </c>
      <c r="C49" s="1" t="n">
        <v>43.42</v>
      </c>
      <c r="D49" s="1" t="n">
        <v>295.4</v>
      </c>
      <c r="E49" s="1" t="n">
        <v>0.472</v>
      </c>
      <c r="F49" s="1" t="n">
        <v>366259</v>
      </c>
      <c r="G49" s="1" t="s">
        <v>199</v>
      </c>
      <c r="H49" s="1" t="n">
        <v>-42.07</v>
      </c>
      <c r="I49" s="1" t="n">
        <v>0.3704</v>
      </c>
      <c r="J49" s="6" t="n">
        <v>1</v>
      </c>
      <c r="K49" s="6" t="n">
        <v>2.5</v>
      </c>
    </row>
    <row r="50" customFormat="false" ht="15" hidden="false" customHeight="true" outlineLevel="0" collapsed="false">
      <c r="A50" s="1" t="s">
        <v>68</v>
      </c>
      <c r="B50" s="1" t="s">
        <v>76</v>
      </c>
      <c r="C50" s="1" t="n">
        <v>69.82</v>
      </c>
      <c r="D50" s="1" t="n">
        <v>299.7</v>
      </c>
      <c r="E50" s="1" t="n">
        <v>0.692</v>
      </c>
      <c r="F50" s="1" t="n">
        <v>369735</v>
      </c>
      <c r="G50" s="1" t="s">
        <v>200</v>
      </c>
      <c r="H50" s="1" t="n">
        <v>-41.92</v>
      </c>
      <c r="I50" s="1" t="n">
        <v>0.5667</v>
      </c>
      <c r="J50" s="6" t="n">
        <v>1</v>
      </c>
      <c r="K50" s="6" t="n">
        <v>1.583</v>
      </c>
    </row>
    <row r="51" customFormat="false" ht="15" hidden="false" customHeight="true" outlineLevel="0" collapsed="false">
      <c r="A51" s="1" t="s">
        <v>68</v>
      </c>
      <c r="B51" s="1" t="s">
        <v>77</v>
      </c>
      <c r="C51" s="1" t="n">
        <v>71.63</v>
      </c>
      <c r="D51" s="1" t="n">
        <v>109.8</v>
      </c>
      <c r="E51" s="1" t="n">
        <v>0.932</v>
      </c>
      <c r="F51" s="1" t="n">
        <v>378883</v>
      </c>
      <c r="G51" s="1" t="s">
        <v>201</v>
      </c>
      <c r="H51" s="1" t="n">
        <v>-41.67</v>
      </c>
      <c r="I51" s="1" t="n">
        <v>0.4333</v>
      </c>
      <c r="J51" s="6" t="n">
        <v>3.333</v>
      </c>
      <c r="K51" s="6" t="n">
        <v>2.333</v>
      </c>
    </row>
    <row r="52" customFormat="false" ht="15" hidden="false" customHeight="true" outlineLevel="0" collapsed="false">
      <c r="A52" s="1" t="s">
        <v>68</v>
      </c>
      <c r="B52" s="1" t="s">
        <v>78</v>
      </c>
      <c r="C52" s="1" t="n">
        <v>47.18</v>
      </c>
      <c r="D52" s="1" t="n">
        <v>113.7</v>
      </c>
      <c r="E52" s="1" t="n">
        <v>0.996</v>
      </c>
      <c r="F52" s="1" t="n">
        <v>387020</v>
      </c>
      <c r="G52" s="1" t="s">
        <v>202</v>
      </c>
      <c r="H52" s="1" t="n">
        <v>-41.49</v>
      </c>
      <c r="I52" s="1" t="n">
        <v>0.3852</v>
      </c>
      <c r="J52" s="6" t="n">
        <v>3</v>
      </c>
      <c r="K52" s="6" t="n">
        <v>2</v>
      </c>
    </row>
    <row r="53" customFormat="false" ht="15" hidden="false" customHeight="true" outlineLevel="0" collapsed="false">
      <c r="A53" s="1" t="s">
        <v>68</v>
      </c>
      <c r="B53" s="1" t="s">
        <v>79</v>
      </c>
      <c r="C53" s="1" t="n">
        <v>-9.98</v>
      </c>
      <c r="D53" s="1" t="n">
        <v>115.2</v>
      </c>
      <c r="E53" s="1" t="n">
        <v>0.821</v>
      </c>
      <c r="F53" s="1" t="n">
        <v>405657</v>
      </c>
      <c r="G53" s="1" t="s">
        <v>203</v>
      </c>
      <c r="H53" s="1" t="n">
        <v>-41.02</v>
      </c>
      <c r="I53" s="1" t="n">
        <v>0.5778</v>
      </c>
      <c r="J53" s="6" t="n">
        <v>2</v>
      </c>
      <c r="K53" s="6" t="n">
        <v>2.167</v>
      </c>
    </row>
    <row r="54" customFormat="false" ht="15" hidden="false" customHeight="true" outlineLevel="0" collapsed="false">
      <c r="A54" s="1" t="s">
        <v>68</v>
      </c>
      <c r="B54" s="1" t="s">
        <v>80</v>
      </c>
      <c r="C54" s="1" t="n">
        <v>-31.78</v>
      </c>
      <c r="D54" s="1" t="n">
        <v>114.4</v>
      </c>
      <c r="E54" s="1" t="n">
        <v>0.658</v>
      </c>
      <c r="F54" s="1" t="n">
        <v>407457</v>
      </c>
      <c r="G54" s="1" t="s">
        <v>204</v>
      </c>
      <c r="H54" s="1" t="n">
        <v>-40.81</v>
      </c>
      <c r="I54" s="1" t="n">
        <v>0.4889</v>
      </c>
      <c r="J54" s="6" t="n">
        <v>2</v>
      </c>
      <c r="K54" s="6" t="n">
        <v>1.667</v>
      </c>
    </row>
    <row r="55" customFormat="false" ht="15" hidden="false" customHeight="true" outlineLevel="0" collapsed="false">
      <c r="A55" s="1" t="s">
        <v>68</v>
      </c>
      <c r="B55" s="1" t="s">
        <v>81</v>
      </c>
      <c r="C55" s="1" t="n">
        <v>-53.69</v>
      </c>
      <c r="D55" s="1" t="n">
        <v>112</v>
      </c>
      <c r="E55" s="1" t="n">
        <v>0.469</v>
      </c>
      <c r="F55" s="1" t="n">
        <v>403971</v>
      </c>
      <c r="G55" s="1" t="s">
        <v>205</v>
      </c>
      <c r="H55" s="1" t="n">
        <v>-40.6</v>
      </c>
      <c r="I55" s="1" t="n">
        <v>0.3704</v>
      </c>
      <c r="J55" s="6" t="n">
        <v>4.333</v>
      </c>
      <c r="K55" s="6" t="n">
        <v>2.917</v>
      </c>
    </row>
    <row r="56" customFormat="false" ht="15" hidden="false" customHeight="true" outlineLevel="0" collapsed="false">
      <c r="A56" s="1" t="s">
        <v>68</v>
      </c>
      <c r="B56" s="1" t="s">
        <v>82</v>
      </c>
      <c r="C56" s="1" t="n">
        <v>-85.35</v>
      </c>
      <c r="D56" s="1" t="n">
        <v>44.3</v>
      </c>
      <c r="E56" s="1" t="n">
        <v>0.189</v>
      </c>
      <c r="F56" s="1" t="n">
        <v>389930</v>
      </c>
      <c r="G56" s="1" t="s">
        <v>184</v>
      </c>
      <c r="H56" s="1" t="n">
        <v>-40.26</v>
      </c>
      <c r="I56" s="1" t="n">
        <v>0.5444</v>
      </c>
      <c r="J56" s="6" t="n">
        <v>0.333</v>
      </c>
      <c r="K56" s="6" t="n">
        <v>0.667</v>
      </c>
    </row>
    <row r="57" customFormat="false" ht="15" hidden="false" customHeight="true" outlineLevel="0" collapsed="false">
      <c r="A57" s="1" t="s">
        <v>68</v>
      </c>
      <c r="B57" s="1" t="s">
        <v>83</v>
      </c>
      <c r="C57" s="1" t="n">
        <v>-65.72</v>
      </c>
      <c r="D57" s="1" t="n">
        <v>309</v>
      </c>
      <c r="E57" s="1" t="n">
        <v>0.051</v>
      </c>
      <c r="F57" s="1" t="n">
        <v>378024</v>
      </c>
      <c r="G57" s="1" t="s">
        <v>206</v>
      </c>
      <c r="H57" s="1" t="n">
        <v>-40.02</v>
      </c>
      <c r="I57" s="1" t="n">
        <v>0.7148</v>
      </c>
      <c r="J57" s="6" t="n">
        <v>1</v>
      </c>
      <c r="K57" s="6" t="n">
        <v>1.042</v>
      </c>
    </row>
    <row r="58" customFormat="false" ht="15" hidden="false" customHeight="true" outlineLevel="0" collapsed="false">
      <c r="A58" s="1" t="s">
        <v>68</v>
      </c>
      <c r="B58" s="1" t="s">
        <v>84</v>
      </c>
      <c r="C58" s="1" t="n">
        <v>-39.24</v>
      </c>
      <c r="D58" s="1" t="n">
        <v>302.5</v>
      </c>
      <c r="E58" s="1" t="n">
        <v>0.001</v>
      </c>
      <c r="F58" s="1" t="n">
        <v>368062</v>
      </c>
      <c r="G58" s="1" t="s">
        <v>207</v>
      </c>
      <c r="H58" s="1" t="n">
        <v>-39.78</v>
      </c>
      <c r="I58" s="1" t="n">
        <v>0.5444</v>
      </c>
      <c r="J58" s="6" t="n">
        <v>0.333</v>
      </c>
      <c r="K58" s="6" t="n">
        <v>0.708</v>
      </c>
    </row>
    <row r="59" customFormat="false" ht="15" hidden="false" customHeight="true" outlineLevel="0" collapsed="false">
      <c r="A59" s="1" t="s">
        <v>68</v>
      </c>
      <c r="B59" s="1" t="s">
        <v>85</v>
      </c>
      <c r="C59" s="1" t="n">
        <v>2.47</v>
      </c>
      <c r="D59" s="1" t="n">
        <v>297.5</v>
      </c>
      <c r="E59" s="1" t="n">
        <v>0.133</v>
      </c>
      <c r="F59" s="1" t="n">
        <v>362505</v>
      </c>
      <c r="G59" s="1" t="s">
        <v>208</v>
      </c>
      <c r="H59" s="1" t="n">
        <v>-39.4</v>
      </c>
      <c r="I59" s="1" t="n">
        <v>0.4704</v>
      </c>
      <c r="J59" s="6" t="n">
        <v>3.333</v>
      </c>
      <c r="K59" s="6" t="n">
        <v>3.292</v>
      </c>
    </row>
    <row r="60" customFormat="false" ht="15" hidden="false" customHeight="true" outlineLevel="0" collapsed="false">
      <c r="A60" s="1" t="s">
        <v>68</v>
      </c>
      <c r="B60" s="1" t="s">
        <v>86</v>
      </c>
      <c r="C60" s="1" t="n">
        <v>29.41</v>
      </c>
      <c r="D60" s="1" t="n">
        <v>293.1</v>
      </c>
      <c r="E60" s="1" t="n">
        <v>0.328</v>
      </c>
      <c r="F60" s="1" t="n">
        <v>365423</v>
      </c>
      <c r="G60" s="1" t="s">
        <v>209</v>
      </c>
      <c r="H60" s="1" t="n">
        <v>-39.14</v>
      </c>
      <c r="I60" s="1" t="n">
        <v>0.4963</v>
      </c>
      <c r="J60" s="6" t="n">
        <v>1.667</v>
      </c>
      <c r="K60" s="6" t="n">
        <v>1.125</v>
      </c>
    </row>
    <row r="61" customFormat="false" ht="15" hidden="false" customHeight="true" outlineLevel="0" collapsed="false">
      <c r="A61" s="1" t="s">
        <v>68</v>
      </c>
      <c r="B61" s="1" t="s">
        <v>87</v>
      </c>
      <c r="C61" s="1" t="n">
        <v>55.11</v>
      </c>
      <c r="D61" s="1" t="n">
        <v>284.3</v>
      </c>
      <c r="E61" s="1" t="n">
        <v>0.55</v>
      </c>
      <c r="F61" s="1" t="n">
        <v>371632</v>
      </c>
      <c r="G61" s="1" t="s">
        <v>210</v>
      </c>
      <c r="H61" s="1" t="n">
        <v>-38.88</v>
      </c>
      <c r="I61" s="1" t="n">
        <v>0.6704</v>
      </c>
      <c r="J61" s="6" t="n">
        <v>1.333</v>
      </c>
      <c r="K61" s="6" t="n">
        <v>1.917</v>
      </c>
    </row>
    <row r="62" customFormat="false" ht="15" hidden="false" customHeight="true" outlineLevel="0" collapsed="false">
      <c r="A62" s="1" t="s">
        <v>68</v>
      </c>
      <c r="B62" s="1" t="s">
        <v>88</v>
      </c>
      <c r="C62" s="1" t="n">
        <v>78.33</v>
      </c>
      <c r="D62" s="1" t="n">
        <v>188.7</v>
      </c>
      <c r="E62" s="1" t="n">
        <v>0.836</v>
      </c>
      <c r="F62" s="1" t="n">
        <v>383075</v>
      </c>
      <c r="G62" s="1" t="s">
        <v>211</v>
      </c>
      <c r="H62" s="1" t="n">
        <v>-38.48</v>
      </c>
      <c r="I62" s="1" t="n">
        <v>0.3222</v>
      </c>
      <c r="J62" s="6" t="n">
        <v>1</v>
      </c>
      <c r="K62" s="6" t="n">
        <v>1.417</v>
      </c>
    </row>
    <row r="63" customFormat="false" ht="15" hidden="false" customHeight="true" outlineLevel="0" collapsed="false">
      <c r="A63" s="1" t="s">
        <v>68</v>
      </c>
      <c r="B63" s="1" t="s">
        <v>89</v>
      </c>
      <c r="C63" s="1" t="n">
        <v>59.89</v>
      </c>
      <c r="D63" s="1" t="n">
        <v>140.2</v>
      </c>
      <c r="E63" s="1" t="n">
        <v>0.954</v>
      </c>
      <c r="F63" s="1" t="n">
        <v>390675</v>
      </c>
      <c r="G63" s="1" t="s">
        <v>212</v>
      </c>
      <c r="H63" s="1" t="n">
        <v>-38.2</v>
      </c>
      <c r="I63" s="1" t="n">
        <v>0.6778</v>
      </c>
      <c r="J63" s="6" t="n">
        <v>1.333</v>
      </c>
      <c r="K63" s="6" t="n">
        <v>0.708</v>
      </c>
    </row>
    <row r="64" customFormat="false" ht="15" hidden="false" customHeight="true" outlineLevel="0" collapsed="false">
      <c r="A64" s="1" t="s">
        <v>68</v>
      </c>
      <c r="B64" s="1" t="s">
        <v>90</v>
      </c>
      <c r="C64" s="1" t="n">
        <v>37.9</v>
      </c>
      <c r="D64" s="1" t="n">
        <v>129.3</v>
      </c>
      <c r="E64" s="1" t="n">
        <v>0.998</v>
      </c>
      <c r="F64" s="1" t="n">
        <v>397643</v>
      </c>
      <c r="G64" s="1" t="s">
        <v>213</v>
      </c>
      <c r="H64" s="1" t="n">
        <v>-37.93</v>
      </c>
      <c r="I64" s="1" t="n">
        <v>0.3926</v>
      </c>
      <c r="J64" s="6" t="n">
        <v>0.333</v>
      </c>
      <c r="K64" s="6" t="n">
        <v>2.375</v>
      </c>
    </row>
    <row r="65" customFormat="false" ht="15" hidden="false" customHeight="true" outlineLevel="0" collapsed="false">
      <c r="A65" s="1" t="s">
        <v>68</v>
      </c>
      <c r="B65" s="1" t="s">
        <v>91</v>
      </c>
      <c r="C65" s="1" t="n">
        <v>5.51</v>
      </c>
      <c r="D65" s="1" t="n">
        <v>120.6</v>
      </c>
      <c r="E65" s="1" t="n">
        <v>0.927</v>
      </c>
      <c r="F65" s="1" t="n">
        <v>405120</v>
      </c>
      <c r="G65" s="1" t="s">
        <v>214</v>
      </c>
      <c r="H65" s="1" t="n">
        <v>-37.51</v>
      </c>
      <c r="I65" s="1" t="n">
        <v>0.5074</v>
      </c>
      <c r="J65" s="6" t="n">
        <v>2.667</v>
      </c>
      <c r="K65" s="6" t="n">
        <v>3.125</v>
      </c>
    </row>
    <row r="66" customFormat="false" ht="15" hidden="false" customHeight="true" outlineLevel="0" collapsed="false">
      <c r="A66" s="1" t="s">
        <v>68</v>
      </c>
      <c r="B66" s="1" t="s">
        <v>92</v>
      </c>
      <c r="C66" s="1" t="n">
        <v>-15.8</v>
      </c>
      <c r="D66" s="1" t="n">
        <v>115</v>
      </c>
      <c r="E66" s="1" t="n">
        <v>0.802</v>
      </c>
      <c r="F66" s="1" t="n">
        <v>406303</v>
      </c>
      <c r="G66" s="1" t="s">
        <v>168</v>
      </c>
      <c r="H66" s="1" t="n">
        <v>-37.22</v>
      </c>
      <c r="I66" s="1" t="n">
        <v>0.2481</v>
      </c>
      <c r="J66" s="6" t="n">
        <v>0.333</v>
      </c>
      <c r="K66" s="6" t="n">
        <v>0.417</v>
      </c>
    </row>
    <row r="67" customFormat="false" ht="15" hidden="false" customHeight="true" outlineLevel="0" collapsed="false">
      <c r="A67" s="1" t="s">
        <v>68</v>
      </c>
      <c r="B67" s="1" t="s">
        <v>93</v>
      </c>
      <c r="C67" s="1" t="n">
        <v>-36.73</v>
      </c>
      <c r="D67" s="1" t="n">
        <v>107.1</v>
      </c>
      <c r="E67" s="1" t="n">
        <v>0.633</v>
      </c>
      <c r="F67" s="1" t="n">
        <v>403088</v>
      </c>
      <c r="G67" s="1" t="s">
        <v>188</v>
      </c>
      <c r="H67" s="1" t="n">
        <v>-36.94</v>
      </c>
      <c r="I67" s="1" t="n">
        <v>0.3778</v>
      </c>
      <c r="J67" s="6" t="n">
        <v>3.333</v>
      </c>
      <c r="K67" s="6" t="n">
        <v>2.583</v>
      </c>
    </row>
    <row r="68" customFormat="false" ht="15" hidden="false" customHeight="true" outlineLevel="0" collapsed="false">
      <c r="A68" s="1" t="s">
        <v>68</v>
      </c>
      <c r="B68" s="1" t="s">
        <v>94</v>
      </c>
      <c r="C68" s="1" t="n">
        <v>-66.11</v>
      </c>
      <c r="D68" s="1" t="n">
        <v>75.1</v>
      </c>
      <c r="E68" s="1" t="n">
        <v>0.335</v>
      </c>
      <c r="F68" s="1" t="n">
        <v>389826</v>
      </c>
      <c r="G68" s="1" t="s">
        <v>184</v>
      </c>
      <c r="H68" s="1" t="n">
        <v>-36.52</v>
      </c>
      <c r="I68" s="1" t="n">
        <v>0.7481</v>
      </c>
      <c r="J68" s="6" t="n">
        <v>1.667</v>
      </c>
      <c r="K68" s="6" t="n">
        <v>1.167</v>
      </c>
    </row>
    <row r="69" customFormat="false" ht="15" hidden="false" customHeight="true" outlineLevel="0" collapsed="false">
      <c r="A69" s="1" t="s">
        <v>68</v>
      </c>
      <c r="B69" s="1" t="s">
        <v>95</v>
      </c>
      <c r="C69" s="1" t="n">
        <v>-70.29</v>
      </c>
      <c r="D69" s="1" t="n">
        <v>4.4</v>
      </c>
      <c r="E69" s="1" t="n">
        <v>0.149</v>
      </c>
      <c r="F69" s="1" t="n">
        <v>377715</v>
      </c>
      <c r="G69" s="1" t="s">
        <v>215</v>
      </c>
      <c r="H69" s="1" t="n">
        <v>-36.24</v>
      </c>
      <c r="I69" s="1" t="n">
        <v>0.6556</v>
      </c>
      <c r="J69" s="6" t="n">
        <v>3</v>
      </c>
      <c r="K69" s="6" t="n">
        <v>2</v>
      </c>
    </row>
    <row r="70" customFormat="false" ht="15" hidden="false" customHeight="true" outlineLevel="0" collapsed="false">
      <c r="A70" s="1" t="s">
        <v>68</v>
      </c>
      <c r="B70" s="1" t="s">
        <v>96</v>
      </c>
      <c r="C70" s="1" t="n">
        <v>-50.91</v>
      </c>
      <c r="D70" s="1" t="n">
        <v>323.9</v>
      </c>
      <c r="E70" s="1" t="n">
        <v>0.026</v>
      </c>
      <c r="F70" s="1" t="n">
        <v>366822</v>
      </c>
      <c r="G70" s="1" t="s">
        <v>216</v>
      </c>
      <c r="H70" s="1" t="n">
        <v>-35.96</v>
      </c>
      <c r="I70" s="1" t="n">
        <v>0.4815</v>
      </c>
      <c r="J70" s="6" t="n">
        <v>5</v>
      </c>
      <c r="K70" s="6" t="n">
        <v>3.833</v>
      </c>
    </row>
    <row r="71" customFormat="false" ht="15" hidden="false" customHeight="true" outlineLevel="0" collapsed="false">
      <c r="A71" s="1" t="s">
        <v>68</v>
      </c>
      <c r="B71" s="1" t="s">
        <v>97</v>
      </c>
      <c r="C71" s="1" t="n">
        <v>-12.12</v>
      </c>
      <c r="D71" s="1" t="n">
        <v>303</v>
      </c>
      <c r="E71" s="1" t="n">
        <v>0.047</v>
      </c>
      <c r="F71" s="1" t="n">
        <v>360236</v>
      </c>
      <c r="G71" s="1" t="s">
        <v>217</v>
      </c>
      <c r="H71" s="1" t="n">
        <v>-35.55</v>
      </c>
      <c r="I71" s="1" t="n">
        <v>0.4963</v>
      </c>
      <c r="J71" s="6" t="n">
        <v>2.667</v>
      </c>
      <c r="K71" s="6" t="n">
        <v>2.167</v>
      </c>
    </row>
    <row r="72" customFormat="false" ht="15" hidden="false" customHeight="true" outlineLevel="0" collapsed="false">
      <c r="A72" s="1" t="s">
        <v>68</v>
      </c>
      <c r="B72" s="1" t="s">
        <v>98</v>
      </c>
      <c r="C72" s="1" t="n">
        <v>13.95</v>
      </c>
      <c r="D72" s="1" t="n">
        <v>292.6</v>
      </c>
      <c r="E72" s="1" t="n">
        <v>0.195</v>
      </c>
      <c r="F72" s="1" t="n">
        <v>363934</v>
      </c>
      <c r="G72" s="1" t="s">
        <v>218</v>
      </c>
      <c r="H72" s="1" t="n">
        <v>-35.28</v>
      </c>
      <c r="I72" s="1" t="n">
        <v>0.6074</v>
      </c>
      <c r="J72" s="6" t="n">
        <v>1.333</v>
      </c>
      <c r="K72" s="6" t="n">
        <v>1.667</v>
      </c>
    </row>
    <row r="73" customFormat="false" ht="15" hidden="false" customHeight="true" outlineLevel="0" collapsed="false">
      <c r="A73" s="1" t="s">
        <v>68</v>
      </c>
      <c r="B73" s="1" t="s">
        <v>99</v>
      </c>
      <c r="C73" s="1" t="n">
        <v>37.8</v>
      </c>
      <c r="D73" s="1" t="n">
        <v>279.1</v>
      </c>
      <c r="E73" s="1" t="n">
        <v>0.402</v>
      </c>
      <c r="F73" s="1" t="n">
        <v>371952</v>
      </c>
      <c r="G73" s="1" t="s">
        <v>179</v>
      </c>
      <c r="H73" s="1" t="n">
        <v>-35.02</v>
      </c>
      <c r="I73" s="1" t="n">
        <v>0.563</v>
      </c>
      <c r="J73" s="6" t="n">
        <v>0.333</v>
      </c>
      <c r="K73" s="6" t="n">
        <v>1.125</v>
      </c>
    </row>
    <row r="74" customFormat="false" ht="15" hidden="false" customHeight="true" outlineLevel="0" collapsed="false">
      <c r="A74" s="1" t="s">
        <v>68</v>
      </c>
      <c r="B74" s="1" t="s">
        <v>100</v>
      </c>
      <c r="C74" s="1" t="n">
        <v>63.45</v>
      </c>
      <c r="D74" s="1" t="n">
        <v>233.5</v>
      </c>
      <c r="E74" s="1" t="n">
        <v>0.712</v>
      </c>
      <c r="F74" s="1" t="n">
        <v>385783</v>
      </c>
      <c r="G74" s="1" t="s">
        <v>219</v>
      </c>
      <c r="H74" s="1" t="n">
        <v>-34.64</v>
      </c>
      <c r="I74" s="1" t="n">
        <v>0.4704</v>
      </c>
      <c r="J74" s="6" t="n">
        <v>1.667</v>
      </c>
      <c r="K74" s="6" t="n">
        <v>1.958</v>
      </c>
    </row>
    <row r="75" customFormat="false" ht="15" hidden="false" customHeight="true" outlineLevel="0" collapsed="false">
      <c r="A75" s="1" t="s">
        <v>68</v>
      </c>
      <c r="B75" s="1" t="s">
        <v>101</v>
      </c>
      <c r="C75" s="1" t="n">
        <v>62.16</v>
      </c>
      <c r="D75" s="1" t="n">
        <v>180.8</v>
      </c>
      <c r="E75" s="1" t="n">
        <v>0.869</v>
      </c>
      <c r="F75" s="1" t="n">
        <v>393503</v>
      </c>
      <c r="G75" s="1" t="s">
        <v>220</v>
      </c>
      <c r="H75" s="1" t="n">
        <v>-34.39</v>
      </c>
      <c r="I75" s="1" t="n">
        <v>0.5074</v>
      </c>
      <c r="J75" s="6" t="n">
        <v>1.667</v>
      </c>
      <c r="K75" s="6" t="n">
        <v>2.208</v>
      </c>
    </row>
    <row r="76" customFormat="false" ht="15" hidden="false" customHeight="true" outlineLevel="0" collapsed="false">
      <c r="A76" s="1" t="s">
        <v>68</v>
      </c>
      <c r="B76" s="1" t="s">
        <v>102</v>
      </c>
      <c r="C76" s="1" t="n">
        <v>47.48</v>
      </c>
      <c r="D76" s="1" t="n">
        <v>149.9</v>
      </c>
      <c r="E76" s="1" t="n">
        <v>0.968</v>
      </c>
      <c r="F76" s="1" t="n">
        <v>399300</v>
      </c>
      <c r="G76" s="1" t="s">
        <v>221</v>
      </c>
      <c r="H76" s="1" t="n">
        <v>-34.16</v>
      </c>
      <c r="I76" s="1" t="n">
        <v>0.6667</v>
      </c>
      <c r="J76" s="6" t="n">
        <v>3</v>
      </c>
      <c r="K76" s="6" t="n">
        <v>2.792</v>
      </c>
    </row>
    <row r="77" customFormat="false" ht="15" hidden="false" customHeight="true" outlineLevel="0" collapsed="false">
      <c r="A77" s="1" t="s">
        <v>68</v>
      </c>
      <c r="B77" s="1" t="s">
        <v>103</v>
      </c>
      <c r="C77" s="1" t="n">
        <v>19.48</v>
      </c>
      <c r="D77" s="1" t="n">
        <v>127.8</v>
      </c>
      <c r="E77" s="1" t="n">
        <v>0.986</v>
      </c>
      <c r="F77" s="1" t="n">
        <v>404150</v>
      </c>
      <c r="G77" s="1" t="s">
        <v>222</v>
      </c>
      <c r="H77" s="1" t="n">
        <v>-33.82</v>
      </c>
      <c r="I77" s="1" t="n">
        <v>0.6926</v>
      </c>
      <c r="J77" s="6" t="n">
        <v>2.667</v>
      </c>
      <c r="K77" s="6" t="n">
        <v>1.792</v>
      </c>
    </row>
    <row r="78" customFormat="false" ht="15" hidden="false" customHeight="true" outlineLevel="0" collapsed="false">
      <c r="A78" s="1" t="s">
        <v>68</v>
      </c>
      <c r="B78" s="1" t="s">
        <v>104</v>
      </c>
      <c r="C78" s="1" t="n">
        <v>0.54</v>
      </c>
      <c r="D78" s="1" t="n">
        <v>117</v>
      </c>
      <c r="E78" s="1" t="n">
        <v>0.911</v>
      </c>
      <c r="F78" s="1" t="n">
        <v>404282</v>
      </c>
      <c r="G78" s="1" t="s">
        <v>222</v>
      </c>
      <c r="H78" s="1" t="n">
        <v>-33.61</v>
      </c>
      <c r="I78" s="1" t="n">
        <v>0.363</v>
      </c>
      <c r="J78" s="6" t="n">
        <v>1.333</v>
      </c>
      <c r="K78" s="6" t="n">
        <v>2.167</v>
      </c>
    </row>
    <row r="79" customFormat="false" ht="15" hidden="false" customHeight="true" outlineLevel="0" collapsed="false">
      <c r="A79" s="1" t="s">
        <v>68</v>
      </c>
      <c r="B79" s="1" t="s">
        <v>105</v>
      </c>
      <c r="C79" s="1" t="n">
        <v>-19.16</v>
      </c>
      <c r="D79" s="1" t="n">
        <v>105.6</v>
      </c>
      <c r="E79" s="1" t="n">
        <v>0.775</v>
      </c>
      <c r="F79" s="1" t="n">
        <v>401137</v>
      </c>
      <c r="G79" s="1" t="s">
        <v>160</v>
      </c>
      <c r="H79" s="1" t="n">
        <v>-33.41</v>
      </c>
      <c r="I79" s="1" t="n">
        <v>0.5444</v>
      </c>
      <c r="J79" s="6" t="n">
        <v>5.333</v>
      </c>
      <c r="K79" s="6" t="n">
        <v>3.75</v>
      </c>
    </row>
    <row r="80" customFormat="false" ht="15" hidden="false" customHeight="true" outlineLevel="0" collapsed="false">
      <c r="A80" s="1" t="s">
        <v>68</v>
      </c>
      <c r="B80" s="1" t="s">
        <v>106</v>
      </c>
      <c r="C80" s="1" t="n">
        <v>-46.32</v>
      </c>
      <c r="D80" s="1" t="n">
        <v>79</v>
      </c>
      <c r="E80" s="1" t="n">
        <v>0.489</v>
      </c>
      <c r="F80" s="1" t="n">
        <v>389534</v>
      </c>
      <c r="G80" s="1" t="s">
        <v>223</v>
      </c>
      <c r="H80" s="1" t="n">
        <v>-33.13</v>
      </c>
      <c r="I80" s="1" t="n">
        <v>0.4556</v>
      </c>
      <c r="J80" s="6" t="n">
        <v>2.667</v>
      </c>
      <c r="K80" s="6" t="n">
        <v>1.833</v>
      </c>
    </row>
    <row r="81" customFormat="false" ht="15" hidden="false" customHeight="true" outlineLevel="0" collapsed="false">
      <c r="A81" s="1" t="s">
        <v>68</v>
      </c>
      <c r="B81" s="1" t="s">
        <v>107</v>
      </c>
      <c r="C81" s="1" t="n">
        <v>-58.38</v>
      </c>
      <c r="D81" s="1" t="n">
        <v>42.6</v>
      </c>
      <c r="E81" s="1" t="n">
        <v>0.279</v>
      </c>
      <c r="F81" s="1" t="n">
        <v>378499</v>
      </c>
      <c r="G81" s="1" t="s">
        <v>224</v>
      </c>
      <c r="H81" s="1" t="n">
        <v>-32.96</v>
      </c>
      <c r="I81" s="1" t="n">
        <v>0.7148</v>
      </c>
      <c r="J81" s="6" t="n">
        <v>2.333</v>
      </c>
      <c r="K81" s="6" t="n">
        <v>1.667</v>
      </c>
    </row>
    <row r="82" customFormat="false" ht="15" hidden="false" customHeight="true" outlineLevel="0" collapsed="false">
      <c r="A82" s="1" t="s">
        <v>68</v>
      </c>
      <c r="B82" s="1" t="s">
        <v>108</v>
      </c>
      <c r="C82" s="1" t="n">
        <v>-54.88</v>
      </c>
      <c r="D82" s="1" t="n">
        <v>353.5</v>
      </c>
      <c r="E82" s="1" t="n">
        <v>0.101</v>
      </c>
      <c r="F82" s="1" t="n">
        <v>367847</v>
      </c>
      <c r="G82" s="1" t="s">
        <v>225</v>
      </c>
      <c r="H82" s="1" t="n">
        <v>-32.8</v>
      </c>
      <c r="I82" s="1" t="n">
        <v>0.4815</v>
      </c>
      <c r="J82" s="6"/>
      <c r="K82" s="6"/>
    </row>
    <row r="83" customFormat="false" ht="15" hidden="false" customHeight="true" outlineLevel="0" collapsed="false">
      <c r="A83" s="1" t="s">
        <v>68</v>
      </c>
      <c r="B83" s="1" t="s">
        <v>109</v>
      </c>
      <c r="C83" s="1" t="n">
        <v>-26.03</v>
      </c>
      <c r="D83" s="1" t="n">
        <v>311</v>
      </c>
      <c r="E83" s="1" t="n">
        <v>0.004</v>
      </c>
      <c r="F83" s="1" t="n">
        <v>360273</v>
      </c>
      <c r="G83" s="1" t="s">
        <v>217</v>
      </c>
      <c r="H83" s="1" t="n">
        <v>-32.59</v>
      </c>
      <c r="I83" s="1" t="n">
        <v>0.5259</v>
      </c>
      <c r="J83" s="6"/>
      <c r="K83" s="6"/>
    </row>
    <row r="84" customFormat="false" ht="15" hidden="false" customHeight="true" outlineLevel="0" collapsed="false">
      <c r="A84" s="1" t="s">
        <v>110</v>
      </c>
      <c r="B84" s="1" t="s">
        <v>27</v>
      </c>
      <c r="C84" s="1" t="n">
        <v>-37.24</v>
      </c>
      <c r="D84" s="1" t="n">
        <v>113.3</v>
      </c>
      <c r="E84" s="1" t="n">
        <v>0.583</v>
      </c>
      <c r="F84" s="1" t="n">
        <v>408208</v>
      </c>
      <c r="G84" s="1" t="s">
        <v>158</v>
      </c>
      <c r="H84" s="1" t="n">
        <v>-42.99</v>
      </c>
      <c r="I84" s="1" t="n">
        <v>0.6769</v>
      </c>
      <c r="J84" s="6" t="n">
        <v>2.667</v>
      </c>
      <c r="K84" s="6" t="n">
        <v>2.667</v>
      </c>
    </row>
    <row r="85" customFormat="false" ht="15" hidden="false" customHeight="true" outlineLevel="0" collapsed="false">
      <c r="A85" s="1" t="s">
        <v>110</v>
      </c>
      <c r="B85" s="1" t="s">
        <v>28</v>
      </c>
      <c r="C85" s="1" t="n">
        <v>-58.54</v>
      </c>
      <c r="D85" s="1" t="n">
        <v>120.2</v>
      </c>
      <c r="E85" s="1" t="n">
        <v>0.394</v>
      </c>
      <c r="F85" s="1" t="n">
        <v>407286</v>
      </c>
      <c r="G85" s="1" t="s">
        <v>159</v>
      </c>
      <c r="H85" s="1" t="n">
        <v>-42.89</v>
      </c>
      <c r="I85" s="1" t="n">
        <v>0.432</v>
      </c>
      <c r="J85" s="6" t="n">
        <v>2</v>
      </c>
      <c r="K85" s="6" t="n">
        <v>1.792</v>
      </c>
    </row>
    <row r="86" customFormat="false" ht="15" hidden="false" customHeight="true" outlineLevel="0" collapsed="false">
      <c r="A86" s="1" t="s">
        <v>110</v>
      </c>
      <c r="B86" s="1" t="s">
        <v>111</v>
      </c>
      <c r="C86" s="1" t="n">
        <v>-82.84</v>
      </c>
      <c r="D86" s="1" t="n">
        <v>224.7</v>
      </c>
      <c r="E86" s="1" t="n">
        <v>0.138</v>
      </c>
      <c r="F86" s="1" t="n">
        <v>396286</v>
      </c>
      <c r="G86" s="1" t="s">
        <v>226</v>
      </c>
      <c r="H86" s="1" t="n">
        <v>-42.73</v>
      </c>
      <c r="I86" s="1" t="n">
        <v>0.4592</v>
      </c>
      <c r="J86" s="6" t="n">
        <v>2.667</v>
      </c>
      <c r="K86" s="6" t="n">
        <v>3.083</v>
      </c>
    </row>
    <row r="87" customFormat="false" ht="15" hidden="false" customHeight="true" outlineLevel="0" collapsed="false">
      <c r="A87" s="1" t="s">
        <v>110</v>
      </c>
      <c r="B87" s="1" t="s">
        <v>30</v>
      </c>
      <c r="C87" s="1" t="n">
        <v>-62.24</v>
      </c>
      <c r="D87" s="1" t="n">
        <v>278.6</v>
      </c>
      <c r="E87" s="1" t="n">
        <v>0.028</v>
      </c>
      <c r="F87" s="1" t="n">
        <v>385532</v>
      </c>
      <c r="G87" s="1" t="s">
        <v>161</v>
      </c>
      <c r="H87" s="1" t="n">
        <v>-42.61</v>
      </c>
      <c r="I87" s="1" t="n">
        <v>0.5782</v>
      </c>
      <c r="J87" s="6" t="n">
        <v>0.667</v>
      </c>
      <c r="K87" s="6" t="n">
        <v>0.833</v>
      </c>
    </row>
    <row r="88" customFormat="false" ht="15" hidden="false" customHeight="true" outlineLevel="0" collapsed="false">
      <c r="A88" s="1" t="s">
        <v>110</v>
      </c>
      <c r="B88" s="1" t="s">
        <v>31</v>
      </c>
      <c r="C88" s="1" t="n">
        <v>-37.09</v>
      </c>
      <c r="D88" s="1" t="n">
        <v>286.6</v>
      </c>
      <c r="E88" s="1" t="n">
        <v>0.004</v>
      </c>
      <c r="F88" s="1" t="n">
        <v>375440</v>
      </c>
      <c r="G88" s="1" t="s">
        <v>162</v>
      </c>
      <c r="H88" s="1" t="n">
        <v>-42.49</v>
      </c>
      <c r="I88" s="1" t="n">
        <v>0.4524</v>
      </c>
      <c r="J88" s="6" t="n">
        <v>1</v>
      </c>
      <c r="K88" s="6" t="n">
        <v>0.333</v>
      </c>
    </row>
    <row r="89" customFormat="false" ht="15" hidden="false" customHeight="true" outlineLevel="0" collapsed="false">
      <c r="A89" s="1" t="s">
        <v>110</v>
      </c>
      <c r="B89" s="1" t="s">
        <v>112</v>
      </c>
      <c r="C89" s="1" t="n">
        <v>3.15</v>
      </c>
      <c r="D89" s="1" t="n">
        <v>291.7</v>
      </c>
      <c r="E89" s="1" t="n">
        <v>0.158</v>
      </c>
      <c r="F89" s="1" t="n">
        <v>366482</v>
      </c>
      <c r="G89" s="1" t="s">
        <v>227</v>
      </c>
      <c r="H89" s="1" t="n">
        <v>-42.29</v>
      </c>
      <c r="I89" s="1" t="n">
        <v>0.6156</v>
      </c>
      <c r="J89" s="6" t="n">
        <v>6</v>
      </c>
      <c r="K89" s="6" t="n">
        <v>5.709</v>
      </c>
    </row>
    <row r="90" customFormat="false" ht="15" hidden="false" customHeight="true" outlineLevel="0" collapsed="false">
      <c r="A90" s="1" t="s">
        <v>110</v>
      </c>
      <c r="B90" s="1" t="s">
        <v>33</v>
      </c>
      <c r="C90" s="1" t="n">
        <v>30.01</v>
      </c>
      <c r="D90" s="1" t="n">
        <v>294.2</v>
      </c>
      <c r="E90" s="1" t="n">
        <v>0.358</v>
      </c>
      <c r="F90" s="1" t="n">
        <v>365497</v>
      </c>
      <c r="G90" s="1" t="s">
        <v>164</v>
      </c>
      <c r="H90" s="1" t="n">
        <v>-42.15</v>
      </c>
      <c r="I90" s="1" t="n">
        <v>0.5748</v>
      </c>
      <c r="J90" s="6" t="n">
        <v>3</v>
      </c>
      <c r="K90" s="6" t="n">
        <v>3</v>
      </c>
    </row>
    <row r="91" customFormat="false" ht="15" hidden="false" customHeight="true" outlineLevel="0" collapsed="false">
      <c r="A91" s="1" t="s">
        <v>110</v>
      </c>
      <c r="B91" s="1" t="s">
        <v>34</v>
      </c>
      <c r="C91" s="1" t="n">
        <v>56.7</v>
      </c>
      <c r="D91" s="1" t="n">
        <v>297</v>
      </c>
      <c r="E91" s="1" t="n">
        <v>0.585</v>
      </c>
      <c r="F91" s="1" t="n">
        <v>367702</v>
      </c>
      <c r="G91" s="1" t="s">
        <v>165</v>
      </c>
      <c r="H91" s="1" t="n">
        <v>-42</v>
      </c>
      <c r="I91" s="1" t="n">
        <v>0.4388</v>
      </c>
      <c r="J91" s="6" t="n">
        <v>2.333</v>
      </c>
      <c r="K91" s="6" t="n">
        <v>2.125</v>
      </c>
    </row>
    <row r="92" customFormat="false" ht="15" hidden="false" customHeight="true" outlineLevel="0" collapsed="false">
      <c r="A92" s="1" t="s">
        <v>110</v>
      </c>
      <c r="B92" s="1" t="s">
        <v>113</v>
      </c>
      <c r="C92" s="1" t="n">
        <v>84.01</v>
      </c>
      <c r="D92" s="1" t="n">
        <v>97</v>
      </c>
      <c r="E92" s="1" t="n">
        <v>0.869</v>
      </c>
      <c r="F92" s="1" t="n">
        <v>375363</v>
      </c>
      <c r="G92" s="1" t="s">
        <v>162</v>
      </c>
      <c r="H92" s="1" t="n">
        <v>-41.76</v>
      </c>
      <c r="I92" s="1" t="n">
        <v>0.3503</v>
      </c>
      <c r="J92" s="6" t="n">
        <v>3.333</v>
      </c>
      <c r="K92" s="6" t="n">
        <v>2.667</v>
      </c>
    </row>
    <row r="93" customFormat="false" ht="15" hidden="false" customHeight="true" outlineLevel="0" collapsed="false">
      <c r="A93" s="1" t="s">
        <v>110</v>
      </c>
      <c r="B93" s="1" t="s">
        <v>36</v>
      </c>
      <c r="C93" s="1" t="n">
        <v>59.3</v>
      </c>
      <c r="D93" s="1" t="n">
        <v>112.5</v>
      </c>
      <c r="E93" s="1" t="n">
        <v>0.975</v>
      </c>
      <c r="F93" s="1" t="n">
        <v>382803</v>
      </c>
      <c r="G93" s="1" t="s">
        <v>167</v>
      </c>
      <c r="H93" s="1" t="n">
        <v>-41.58</v>
      </c>
      <c r="I93" s="1" t="n">
        <v>0.4592</v>
      </c>
      <c r="J93" s="6" t="n">
        <v>2</v>
      </c>
      <c r="K93" s="6" t="n">
        <v>1.625</v>
      </c>
    </row>
    <row r="94" customFormat="false" ht="15" hidden="false" customHeight="true" outlineLevel="0" collapsed="false">
      <c r="A94" s="1" t="s">
        <v>110</v>
      </c>
      <c r="B94" s="1" t="s">
        <v>114</v>
      </c>
      <c r="C94" s="1" t="n">
        <v>1.4</v>
      </c>
      <c r="D94" s="1" t="n">
        <v>115.2</v>
      </c>
      <c r="E94" s="1" t="n">
        <v>0.888</v>
      </c>
      <c r="F94" s="1" t="n">
        <v>403076</v>
      </c>
      <c r="G94" s="1" t="s">
        <v>188</v>
      </c>
      <c r="H94" s="1" t="n">
        <v>-41.12</v>
      </c>
      <c r="I94" s="1" t="n">
        <v>0.6871</v>
      </c>
      <c r="J94" s="6" t="n">
        <v>2.333</v>
      </c>
      <c r="K94" s="6" t="n">
        <v>2.458</v>
      </c>
    </row>
    <row r="95" customFormat="false" ht="15" hidden="false" customHeight="true" outlineLevel="0" collapsed="false">
      <c r="A95" s="1" t="s">
        <v>110</v>
      </c>
      <c r="B95" s="1" t="s">
        <v>37</v>
      </c>
      <c r="C95" s="1" t="n">
        <v>-20.9</v>
      </c>
      <c r="D95" s="1" t="n">
        <v>114.9</v>
      </c>
      <c r="E95" s="1" t="n">
        <v>0.744</v>
      </c>
      <c r="F95" s="1" t="n">
        <v>407177</v>
      </c>
      <c r="G95" s="1" t="s">
        <v>159</v>
      </c>
      <c r="H95" s="1" t="n">
        <v>-40.91</v>
      </c>
      <c r="I95" s="1" t="n">
        <v>0.6224</v>
      </c>
      <c r="J95" s="6" t="n">
        <v>1.667</v>
      </c>
      <c r="K95" s="6" t="n">
        <v>1.833</v>
      </c>
    </row>
    <row r="96" customFormat="false" ht="15" hidden="false" customHeight="true" outlineLevel="0" collapsed="false">
      <c r="A96" s="1" t="s">
        <v>110</v>
      </c>
      <c r="B96" s="1" t="s">
        <v>38</v>
      </c>
      <c r="C96" s="1" t="n">
        <v>-42.69</v>
      </c>
      <c r="D96" s="1" t="n">
        <v>113.5</v>
      </c>
      <c r="E96" s="1" t="n">
        <v>0.565</v>
      </c>
      <c r="F96" s="1" t="n">
        <v>406393</v>
      </c>
      <c r="G96" s="1" t="s">
        <v>168</v>
      </c>
      <c r="H96" s="1" t="n">
        <v>-40.7</v>
      </c>
      <c r="I96" s="1" t="n">
        <v>0.2959</v>
      </c>
      <c r="J96" s="6" t="n">
        <v>2.333</v>
      </c>
      <c r="K96" s="6" t="n">
        <v>1.542</v>
      </c>
    </row>
    <row r="97" customFormat="false" ht="15" hidden="false" customHeight="true" outlineLevel="0" collapsed="false">
      <c r="A97" s="1" t="s">
        <v>110</v>
      </c>
      <c r="B97" s="1" t="s">
        <v>115</v>
      </c>
      <c r="C97" s="1" t="n">
        <v>-76.09</v>
      </c>
      <c r="D97" s="1" t="n">
        <v>100.2</v>
      </c>
      <c r="E97" s="1" t="n">
        <v>0.277</v>
      </c>
      <c r="F97" s="1" t="n">
        <v>395496</v>
      </c>
      <c r="G97" s="1" t="s">
        <v>228</v>
      </c>
      <c r="H97" s="1" t="n">
        <v>-40.37</v>
      </c>
      <c r="I97" s="1" t="n">
        <v>0.6871</v>
      </c>
      <c r="J97" s="6" t="n">
        <v>2.667</v>
      </c>
      <c r="K97" s="6" t="n">
        <v>1.917</v>
      </c>
    </row>
    <row r="98" customFormat="false" ht="15" hidden="false" customHeight="true" outlineLevel="0" collapsed="false">
      <c r="A98" s="1" t="s">
        <v>110</v>
      </c>
      <c r="B98" s="1" t="s">
        <v>40</v>
      </c>
      <c r="C98" s="1" t="n">
        <v>-78.03</v>
      </c>
      <c r="D98" s="1" t="n">
        <v>320.6</v>
      </c>
      <c r="E98" s="1" t="n">
        <v>0.112</v>
      </c>
      <c r="F98" s="1" t="n">
        <v>383959</v>
      </c>
      <c r="G98" s="1" t="s">
        <v>170</v>
      </c>
      <c r="H98" s="1" t="n">
        <v>-40.14</v>
      </c>
      <c r="I98" s="1" t="n">
        <v>0.5918</v>
      </c>
      <c r="J98" s="6" t="n">
        <v>1.333</v>
      </c>
      <c r="K98" s="6" t="n">
        <v>0.667</v>
      </c>
    </row>
    <row r="99" customFormat="false" ht="15" hidden="false" customHeight="true" outlineLevel="0" collapsed="false">
      <c r="A99" s="1" t="s">
        <v>110</v>
      </c>
      <c r="B99" s="1" t="s">
        <v>41</v>
      </c>
      <c r="C99" s="1" t="n">
        <v>-52.69</v>
      </c>
      <c r="D99" s="1" t="n">
        <v>304.9</v>
      </c>
      <c r="E99" s="1" t="n">
        <v>0.013</v>
      </c>
      <c r="F99" s="1" t="n">
        <v>372585</v>
      </c>
      <c r="G99" s="1" t="s">
        <v>171</v>
      </c>
      <c r="H99" s="1" t="n">
        <v>-39.9</v>
      </c>
      <c r="I99" s="1" t="n">
        <v>0.5442</v>
      </c>
      <c r="J99" s="6" t="n">
        <v>0.333</v>
      </c>
      <c r="K99" s="6" t="n">
        <v>0.5</v>
      </c>
    </row>
    <row r="100" customFormat="false" ht="15" hidden="false" customHeight="true" outlineLevel="0" collapsed="false">
      <c r="A100" s="1" t="s">
        <v>110</v>
      </c>
      <c r="B100" s="1" t="s">
        <v>116</v>
      </c>
      <c r="C100" s="1" t="n">
        <v>-11.65</v>
      </c>
      <c r="D100" s="1" t="n">
        <v>299.1</v>
      </c>
      <c r="E100" s="1" t="n">
        <v>0.063</v>
      </c>
      <c r="F100" s="1" t="n">
        <v>362919</v>
      </c>
      <c r="G100" s="1" t="s">
        <v>180</v>
      </c>
      <c r="H100" s="1" t="n">
        <v>-39.53</v>
      </c>
      <c r="I100" s="1" t="n">
        <v>0.5646</v>
      </c>
      <c r="J100" s="6" t="n">
        <v>2.667</v>
      </c>
      <c r="K100" s="6" t="n">
        <v>3.208</v>
      </c>
    </row>
    <row r="101" customFormat="false" ht="15" hidden="false" customHeight="true" outlineLevel="0" collapsed="false">
      <c r="A101" s="1" t="s">
        <v>110</v>
      </c>
      <c r="B101" s="1" t="s">
        <v>43</v>
      </c>
      <c r="C101" s="1" t="n">
        <v>15.98</v>
      </c>
      <c r="D101" s="1" t="n">
        <v>295.6</v>
      </c>
      <c r="E101" s="1" t="n">
        <v>0.224</v>
      </c>
      <c r="F101" s="1" t="n">
        <v>363416</v>
      </c>
      <c r="G101" s="1" t="s">
        <v>173</v>
      </c>
      <c r="H101" s="1" t="n">
        <v>-39.27</v>
      </c>
      <c r="I101" s="1" t="n">
        <v>0.5646</v>
      </c>
      <c r="J101" s="6" t="n">
        <v>3.667</v>
      </c>
      <c r="K101" s="6" t="n">
        <v>3.208</v>
      </c>
    </row>
    <row r="102" customFormat="false" ht="15" hidden="false" customHeight="true" outlineLevel="0" collapsed="false">
      <c r="A102" s="1" t="s">
        <v>110</v>
      </c>
      <c r="B102" s="1" t="s">
        <v>44</v>
      </c>
      <c r="C102" s="1" t="n">
        <v>42.5</v>
      </c>
      <c r="D102" s="1" t="n">
        <v>289.7</v>
      </c>
      <c r="E102" s="1" t="n">
        <v>0.439</v>
      </c>
      <c r="F102" s="1" t="n">
        <v>368252</v>
      </c>
      <c r="G102" s="1" t="s">
        <v>163</v>
      </c>
      <c r="H102" s="1" t="n">
        <v>-39.01</v>
      </c>
      <c r="I102" s="1" t="n">
        <v>0.3844</v>
      </c>
      <c r="J102" s="6" t="n">
        <v>1.333</v>
      </c>
      <c r="K102" s="6" t="n">
        <v>1.583</v>
      </c>
    </row>
    <row r="103" customFormat="false" ht="15" hidden="false" customHeight="true" outlineLevel="0" collapsed="false">
      <c r="A103" s="1" t="s">
        <v>110</v>
      </c>
      <c r="B103" s="1" t="s">
        <v>117</v>
      </c>
      <c r="C103" s="1" t="n">
        <v>76.6</v>
      </c>
      <c r="D103" s="1" t="n">
        <v>247.3</v>
      </c>
      <c r="E103" s="1" t="n">
        <v>0.753</v>
      </c>
      <c r="F103" s="1" t="n">
        <v>379188</v>
      </c>
      <c r="G103" s="1" t="s">
        <v>229</v>
      </c>
      <c r="H103" s="1" t="n">
        <v>-38.61</v>
      </c>
      <c r="I103" s="1" t="n">
        <v>0.5748</v>
      </c>
      <c r="J103" s="6" t="n">
        <v>1</v>
      </c>
      <c r="K103" s="6" t="n">
        <v>2.417</v>
      </c>
    </row>
    <row r="104" customFormat="false" ht="15" hidden="false" customHeight="true" outlineLevel="0" collapsed="false">
      <c r="A104" s="1" t="s">
        <v>110</v>
      </c>
      <c r="B104" s="1" t="s">
        <v>46</v>
      </c>
      <c r="C104" s="1" t="n">
        <v>70.4</v>
      </c>
      <c r="D104" s="1" t="n">
        <v>153.4</v>
      </c>
      <c r="E104" s="1" t="n">
        <v>0.903</v>
      </c>
      <c r="F104" s="1" t="n">
        <v>386923</v>
      </c>
      <c r="G104" s="1" t="s">
        <v>174</v>
      </c>
      <c r="H104" s="1" t="n">
        <v>-38.34</v>
      </c>
      <c r="I104" s="1" t="n">
        <v>0.4524</v>
      </c>
      <c r="J104" s="6" t="n">
        <v>0.667</v>
      </c>
      <c r="K104" s="6" t="n">
        <v>0.458</v>
      </c>
    </row>
    <row r="105" customFormat="false" ht="15" hidden="false" customHeight="true" outlineLevel="0" collapsed="false">
      <c r="A105" s="1" t="s">
        <v>110</v>
      </c>
      <c r="B105" s="1" t="s">
        <v>47</v>
      </c>
      <c r="C105" s="1" t="n">
        <v>48.92</v>
      </c>
      <c r="D105" s="1" t="n">
        <v>133.5</v>
      </c>
      <c r="E105" s="1" t="n">
        <v>0.985</v>
      </c>
      <c r="F105" s="1" t="n">
        <v>394275</v>
      </c>
      <c r="G105" s="1" t="s">
        <v>175</v>
      </c>
      <c r="H105" s="1" t="n">
        <v>-38.06</v>
      </c>
      <c r="I105" s="1" t="n">
        <v>0.7347</v>
      </c>
      <c r="J105" s="6" t="n">
        <v>2.333</v>
      </c>
      <c r="K105" s="6" t="n">
        <v>2.417</v>
      </c>
    </row>
    <row r="106" customFormat="false" ht="15" hidden="false" customHeight="true" outlineLevel="0" collapsed="false">
      <c r="A106" s="1" t="s">
        <v>110</v>
      </c>
      <c r="B106" s="1" t="s">
        <v>118</v>
      </c>
      <c r="C106" s="1" t="n">
        <v>16.14</v>
      </c>
      <c r="D106" s="1" t="n">
        <v>123.2</v>
      </c>
      <c r="E106" s="1" t="n">
        <v>0.968</v>
      </c>
      <c r="F106" s="1" t="n">
        <v>403218</v>
      </c>
      <c r="G106" s="1" t="s">
        <v>230</v>
      </c>
      <c r="H106" s="1" t="n">
        <v>-37.65</v>
      </c>
      <c r="I106" s="1" t="n">
        <v>0.7483</v>
      </c>
      <c r="J106" s="6" t="n">
        <v>1.667</v>
      </c>
      <c r="K106" s="6" t="n">
        <v>1.792</v>
      </c>
    </row>
    <row r="107" customFormat="false" ht="15" hidden="false" customHeight="true" outlineLevel="0" collapsed="false">
      <c r="A107" s="1" t="s">
        <v>110</v>
      </c>
      <c r="B107" s="1" t="s">
        <v>49</v>
      </c>
      <c r="C107" s="1" t="n">
        <v>-4.83</v>
      </c>
      <c r="D107" s="1" t="n">
        <v>117.9</v>
      </c>
      <c r="E107" s="1" t="n">
        <v>0.871</v>
      </c>
      <c r="F107" s="1" t="n">
        <v>406203</v>
      </c>
      <c r="G107" s="1" t="s">
        <v>168</v>
      </c>
      <c r="H107" s="1" t="n">
        <v>-37.37</v>
      </c>
      <c r="I107" s="1" t="n">
        <v>0.4796</v>
      </c>
      <c r="J107" s="6" t="n">
        <v>0.667</v>
      </c>
      <c r="K107" s="6" t="n">
        <v>1.833</v>
      </c>
    </row>
    <row r="108" customFormat="false" ht="15" hidden="false" customHeight="true" outlineLevel="0" collapsed="false">
      <c r="A108" s="1" t="s">
        <v>110</v>
      </c>
      <c r="B108" s="1" t="s">
        <v>50</v>
      </c>
      <c r="C108" s="1" t="n">
        <v>-26.29</v>
      </c>
      <c r="D108" s="1" t="n">
        <v>111.5</v>
      </c>
      <c r="E108" s="1" t="n">
        <v>0.722</v>
      </c>
      <c r="F108" s="1" t="n">
        <v>405290</v>
      </c>
      <c r="G108" s="1" t="s">
        <v>177</v>
      </c>
      <c r="H108" s="1" t="n">
        <v>-37.08</v>
      </c>
      <c r="I108" s="1" t="n">
        <v>0.5612</v>
      </c>
      <c r="J108" s="6" t="n">
        <v>0.667</v>
      </c>
      <c r="K108" s="6" t="n">
        <v>1.375</v>
      </c>
    </row>
    <row r="109" customFormat="false" ht="15" hidden="false" customHeight="true" outlineLevel="0" collapsed="false">
      <c r="A109" s="1" t="s">
        <v>110</v>
      </c>
      <c r="B109" s="1" t="s">
        <v>119</v>
      </c>
      <c r="C109" s="1" t="n">
        <v>-57.1</v>
      </c>
      <c r="D109" s="1" t="n">
        <v>91.6</v>
      </c>
      <c r="E109" s="1" t="n">
        <v>0.436</v>
      </c>
      <c r="F109" s="1" t="n">
        <v>395208</v>
      </c>
      <c r="G109" s="1" t="s">
        <v>231</v>
      </c>
      <c r="H109" s="1" t="n">
        <v>-36.66</v>
      </c>
      <c r="I109" s="1" t="n">
        <v>0.2925</v>
      </c>
      <c r="J109" s="6" t="n">
        <v>1</v>
      </c>
      <c r="K109" s="6" t="n">
        <v>0.875</v>
      </c>
    </row>
    <row r="110" customFormat="false" ht="15" hidden="false" customHeight="true" outlineLevel="0" collapsed="false">
      <c r="A110" s="1" t="s">
        <v>110</v>
      </c>
      <c r="B110" s="1" t="s">
        <v>52</v>
      </c>
      <c r="C110" s="1" t="n">
        <v>-71.84</v>
      </c>
      <c r="D110" s="1" t="n">
        <v>44.1</v>
      </c>
      <c r="E110" s="1" t="n">
        <v>0.237</v>
      </c>
      <c r="F110" s="1" t="n">
        <v>383859</v>
      </c>
      <c r="G110" s="1" t="s">
        <v>170</v>
      </c>
      <c r="H110" s="1" t="n">
        <v>-36.38</v>
      </c>
      <c r="I110" s="1" t="n">
        <v>0.517</v>
      </c>
      <c r="J110" s="6" t="n">
        <v>1</v>
      </c>
      <c r="K110" s="6" t="n">
        <v>0.708</v>
      </c>
    </row>
    <row r="111" customFormat="false" ht="15" hidden="false" customHeight="true" outlineLevel="0" collapsed="false">
      <c r="A111" s="1" t="s">
        <v>110</v>
      </c>
      <c r="B111" s="1" t="s">
        <v>53</v>
      </c>
      <c r="C111" s="1" t="n">
        <v>-62.1</v>
      </c>
      <c r="D111" s="1" t="n">
        <v>338.1</v>
      </c>
      <c r="E111" s="1" t="n">
        <v>0.076</v>
      </c>
      <c r="F111" s="1" t="n">
        <v>371871</v>
      </c>
      <c r="G111" s="1" t="s">
        <v>179</v>
      </c>
      <c r="H111" s="1" t="n">
        <v>-36.1</v>
      </c>
      <c r="I111" s="1" t="n">
        <v>0.432</v>
      </c>
      <c r="J111" s="6" t="n">
        <v>0.667</v>
      </c>
      <c r="K111" s="6" t="n">
        <v>1.167</v>
      </c>
    </row>
    <row r="112" customFormat="false" ht="15" hidden="false" customHeight="true" outlineLevel="0" collapsed="false">
      <c r="A112" s="1" t="s">
        <v>110</v>
      </c>
      <c r="B112" s="1" t="s">
        <v>120</v>
      </c>
      <c r="C112" s="1" t="n">
        <v>-25.37</v>
      </c>
      <c r="D112" s="1" t="n">
        <v>308.5</v>
      </c>
      <c r="E112" s="1" t="n">
        <v>0.01</v>
      </c>
      <c r="F112" s="1" t="n">
        <v>360768</v>
      </c>
      <c r="G112" s="1" t="s">
        <v>232</v>
      </c>
      <c r="H112" s="1" t="n">
        <v>-35.69</v>
      </c>
      <c r="I112" s="1" t="n">
        <v>0.4524</v>
      </c>
      <c r="J112" s="6" t="n">
        <v>2.333</v>
      </c>
      <c r="K112" s="6" t="n">
        <v>1.917</v>
      </c>
    </row>
    <row r="113" customFormat="false" ht="15" hidden="false" customHeight="true" outlineLevel="0" collapsed="false">
      <c r="A113" s="1" t="s">
        <v>110</v>
      </c>
      <c r="B113" s="1" t="s">
        <v>55</v>
      </c>
      <c r="C113" s="1" t="n">
        <v>1.4</v>
      </c>
      <c r="D113" s="1" t="n">
        <v>297.9</v>
      </c>
      <c r="E113" s="1" t="n">
        <v>0.11</v>
      </c>
      <c r="F113" s="1" t="n">
        <v>361367</v>
      </c>
      <c r="G113" s="1" t="s">
        <v>181</v>
      </c>
      <c r="H113" s="1" t="n">
        <v>-35.41</v>
      </c>
      <c r="I113" s="1" t="n">
        <v>0.5136</v>
      </c>
      <c r="J113" s="6" t="n">
        <v>4</v>
      </c>
      <c r="K113" s="6" t="n">
        <v>3</v>
      </c>
    </row>
    <row r="114" customFormat="false" ht="15" hidden="false" customHeight="true" outlineLevel="0" collapsed="false">
      <c r="A114" s="1" t="s">
        <v>110</v>
      </c>
      <c r="B114" s="1" t="s">
        <v>56</v>
      </c>
      <c r="C114" s="1" t="n">
        <v>26.24</v>
      </c>
      <c r="D114" s="1" t="n">
        <v>286.6</v>
      </c>
      <c r="E114" s="1" t="n">
        <v>0.295</v>
      </c>
      <c r="F114" s="1" t="n">
        <v>367594</v>
      </c>
      <c r="G114" s="1" t="s">
        <v>182</v>
      </c>
      <c r="H114" s="1" t="n">
        <v>-35.15</v>
      </c>
      <c r="I114" s="1" t="n">
        <v>0.4082</v>
      </c>
      <c r="J114" s="6" t="n">
        <v>2</v>
      </c>
      <c r="K114" s="6" t="n">
        <v>1.667</v>
      </c>
    </row>
    <row r="115" customFormat="false" ht="15" hidden="false" customHeight="true" outlineLevel="0" collapsed="false">
      <c r="A115" s="1" t="s">
        <v>110</v>
      </c>
      <c r="B115" s="1" t="s">
        <v>121</v>
      </c>
      <c r="C115" s="1" t="n">
        <v>57.26</v>
      </c>
      <c r="D115" s="1" t="n">
        <v>254.7</v>
      </c>
      <c r="E115" s="1" t="n">
        <v>0.615</v>
      </c>
      <c r="F115" s="1" t="n">
        <v>381321</v>
      </c>
      <c r="G115" s="1" t="s">
        <v>233</v>
      </c>
      <c r="H115" s="1" t="n">
        <v>-34.76</v>
      </c>
      <c r="I115" s="1" t="n">
        <v>0.3231</v>
      </c>
      <c r="J115" s="6" t="n">
        <v>1.667</v>
      </c>
      <c r="K115" s="6" t="n">
        <v>1.208</v>
      </c>
    </row>
    <row r="116" customFormat="false" ht="15" hidden="false" customHeight="true" outlineLevel="0" collapsed="false">
      <c r="A116" s="1" t="s">
        <v>110</v>
      </c>
      <c r="B116" s="1" t="s">
        <v>58</v>
      </c>
      <c r="C116" s="1" t="n">
        <v>65.25</v>
      </c>
      <c r="D116" s="1" t="n">
        <v>206.3</v>
      </c>
      <c r="E116" s="1" t="n">
        <v>0.797</v>
      </c>
      <c r="F116" s="1" t="n">
        <v>389871</v>
      </c>
      <c r="G116" s="1" t="s">
        <v>184</v>
      </c>
      <c r="H116" s="1" t="n">
        <v>-34.51</v>
      </c>
      <c r="I116" s="1" t="n">
        <v>0.6905</v>
      </c>
      <c r="J116" s="6" t="n">
        <v>0.667</v>
      </c>
      <c r="K116" s="6" t="n">
        <v>1.542</v>
      </c>
    </row>
    <row r="117" customFormat="false" ht="15" hidden="false" customHeight="true" outlineLevel="0" collapsed="false">
      <c r="A117" s="1" t="s">
        <v>110</v>
      </c>
      <c r="B117" s="1" t="s">
        <v>59</v>
      </c>
      <c r="C117" s="1" t="n">
        <v>55.69</v>
      </c>
      <c r="D117" s="1" t="n">
        <v>162.4</v>
      </c>
      <c r="E117" s="1" t="n">
        <v>0.927</v>
      </c>
      <c r="F117" s="1" t="n">
        <v>396649</v>
      </c>
      <c r="G117" s="1" t="s">
        <v>185</v>
      </c>
      <c r="H117" s="1" t="n">
        <v>-34.27</v>
      </c>
      <c r="I117" s="1" t="n">
        <v>0.5884</v>
      </c>
      <c r="J117" s="6" t="n">
        <v>2.333</v>
      </c>
      <c r="K117" s="6" t="n">
        <v>2.583</v>
      </c>
    </row>
    <row r="118" customFormat="false" ht="15" hidden="false" customHeight="true" outlineLevel="0" collapsed="false">
      <c r="A118" s="1" t="s">
        <v>110</v>
      </c>
      <c r="B118" s="1" t="s">
        <v>122</v>
      </c>
      <c r="C118" s="1" t="n">
        <v>29.06</v>
      </c>
      <c r="D118" s="1" t="n">
        <v>133.8</v>
      </c>
      <c r="E118" s="1" t="n">
        <v>0.998</v>
      </c>
      <c r="F118" s="1" t="n">
        <v>403084</v>
      </c>
      <c r="G118" s="1" t="s">
        <v>188</v>
      </c>
      <c r="H118" s="1" t="n">
        <v>-33.93</v>
      </c>
      <c r="I118" s="1" t="n">
        <v>0.3503</v>
      </c>
      <c r="J118" s="6" t="n">
        <v>2.667</v>
      </c>
      <c r="K118" s="6" t="n">
        <v>2.208</v>
      </c>
    </row>
    <row r="119" customFormat="false" ht="15" hidden="false" customHeight="true" outlineLevel="0" collapsed="false">
      <c r="A119" s="1" t="s">
        <v>110</v>
      </c>
      <c r="B119" s="1" t="s">
        <v>61</v>
      </c>
      <c r="C119" s="1" t="n">
        <v>9.86</v>
      </c>
      <c r="D119" s="1" t="n">
        <v>122.3</v>
      </c>
      <c r="E119" s="1" t="n">
        <v>0.956</v>
      </c>
      <c r="F119" s="1" t="n">
        <v>404580</v>
      </c>
      <c r="G119" s="1" t="s">
        <v>187</v>
      </c>
      <c r="H119" s="1" t="n">
        <v>-33.71</v>
      </c>
      <c r="I119" s="1" t="n">
        <v>0.4422</v>
      </c>
      <c r="J119" s="6" t="n">
        <v>1.333</v>
      </c>
      <c r="K119" s="6" t="n">
        <v>1.583</v>
      </c>
    </row>
    <row r="120" customFormat="false" ht="15" hidden="false" customHeight="true" outlineLevel="0" collapsed="false">
      <c r="A120" s="1" t="s">
        <v>110</v>
      </c>
      <c r="B120" s="1" t="s">
        <v>62</v>
      </c>
      <c r="C120" s="1" t="n">
        <v>-9.57</v>
      </c>
      <c r="D120" s="1" t="n">
        <v>111.6</v>
      </c>
      <c r="E120" s="1" t="n">
        <v>0.85</v>
      </c>
      <c r="F120" s="1" t="n">
        <v>403162</v>
      </c>
      <c r="G120" s="1" t="s">
        <v>188</v>
      </c>
      <c r="H120" s="1" t="n">
        <v>-33.51</v>
      </c>
      <c r="I120" s="1" t="n">
        <v>0.2857</v>
      </c>
      <c r="J120" s="6" t="n">
        <v>1.667</v>
      </c>
      <c r="K120" s="6" t="n">
        <v>1.208</v>
      </c>
    </row>
    <row r="121" customFormat="false" ht="15" hidden="false" customHeight="true" outlineLevel="0" collapsed="false">
      <c r="A121" s="1" t="s">
        <v>110</v>
      </c>
      <c r="B121" s="1" t="s">
        <v>123</v>
      </c>
      <c r="C121" s="1" t="n">
        <v>-37.76</v>
      </c>
      <c r="D121" s="1" t="n">
        <v>90.2</v>
      </c>
      <c r="E121" s="1" t="n">
        <v>0.593</v>
      </c>
      <c r="F121" s="1" t="n">
        <v>394264</v>
      </c>
      <c r="G121" s="1" t="s">
        <v>175</v>
      </c>
      <c r="H121" s="1" t="n">
        <v>-33.22</v>
      </c>
      <c r="I121" s="1" t="n">
        <v>0.7347</v>
      </c>
      <c r="J121" s="6" t="n">
        <v>1.333</v>
      </c>
      <c r="K121" s="6" t="n">
        <v>1.75</v>
      </c>
    </row>
    <row r="122" customFormat="false" ht="15" hidden="false" customHeight="true" outlineLevel="0" collapsed="false">
      <c r="A122" s="1" t="s">
        <v>110</v>
      </c>
      <c r="B122" s="1" t="s">
        <v>64</v>
      </c>
      <c r="C122" s="1" t="n">
        <v>-53.6</v>
      </c>
      <c r="D122" s="1" t="n">
        <v>63.6</v>
      </c>
      <c r="E122" s="1" t="n">
        <v>0.383</v>
      </c>
      <c r="F122" s="1" t="n">
        <v>384177</v>
      </c>
      <c r="G122" s="1" t="s">
        <v>190</v>
      </c>
      <c r="H122" s="1" t="n">
        <v>-33.04</v>
      </c>
      <c r="I122" s="1" t="n">
        <v>0.3537</v>
      </c>
      <c r="J122" s="6" t="n">
        <v>2.667</v>
      </c>
      <c r="K122" s="6" t="n">
        <v>2.542</v>
      </c>
    </row>
    <row r="123" customFormat="false" ht="15" hidden="false" customHeight="true" outlineLevel="0" collapsed="false">
      <c r="A123" s="1" t="s">
        <v>110</v>
      </c>
      <c r="B123" s="1" t="s">
        <v>65</v>
      </c>
      <c r="C123" s="1" t="n">
        <v>-59.01</v>
      </c>
      <c r="D123" s="1" t="n">
        <v>17.2</v>
      </c>
      <c r="E123" s="1" t="n">
        <v>0.182</v>
      </c>
      <c r="F123" s="1" t="n">
        <v>372901</v>
      </c>
      <c r="G123" s="1" t="s">
        <v>191</v>
      </c>
      <c r="H123" s="1" t="n">
        <v>-32.88</v>
      </c>
      <c r="I123" s="1" t="n">
        <v>0.4082</v>
      </c>
      <c r="J123" s="6"/>
      <c r="K123" s="6"/>
    </row>
    <row r="124" customFormat="false" ht="15" hidden="false" customHeight="true" outlineLevel="0" collapsed="false">
      <c r="A124" s="1" t="s">
        <v>110</v>
      </c>
      <c r="B124" s="1" t="s">
        <v>124</v>
      </c>
      <c r="C124" s="1" t="n">
        <v>-37.11</v>
      </c>
      <c r="D124" s="1" t="n">
        <v>321.5</v>
      </c>
      <c r="E124" s="1" t="n">
        <v>0.007</v>
      </c>
      <c r="F124" s="1" t="n">
        <v>361196</v>
      </c>
      <c r="G124" s="1" t="s">
        <v>234</v>
      </c>
      <c r="H124" s="1" t="n">
        <v>-32.66</v>
      </c>
      <c r="I124" s="1" t="n">
        <v>0.2993</v>
      </c>
      <c r="J124" s="6"/>
      <c r="K124" s="6"/>
    </row>
    <row r="125" customFormat="false" ht="15" hidden="false" customHeight="true" outlineLevel="0" collapsed="false">
      <c r="A125" s="1" t="s">
        <v>110</v>
      </c>
      <c r="B125" s="1" t="s">
        <v>67</v>
      </c>
      <c r="C125" s="1" t="n">
        <v>-14.5</v>
      </c>
      <c r="D125" s="1" t="n">
        <v>302.1</v>
      </c>
      <c r="E125" s="1" t="n">
        <v>0.032</v>
      </c>
      <c r="F125" s="1" t="n">
        <v>361115</v>
      </c>
      <c r="G125" s="1" t="s">
        <v>193</v>
      </c>
      <c r="H125" s="1" t="n">
        <v>-32.53</v>
      </c>
      <c r="I125" s="1" t="n">
        <v>0.4626</v>
      </c>
      <c r="J125" s="6"/>
      <c r="K125" s="6"/>
    </row>
    <row r="126" customFormat="false" ht="15" hidden="false" customHeight="true" outlineLevel="0" collapsed="false">
      <c r="A126" s="1" t="s">
        <v>125</v>
      </c>
      <c r="B126" s="1" t="s">
        <v>69</v>
      </c>
      <c r="C126" s="1" t="n">
        <v>-47.9</v>
      </c>
      <c r="D126" s="1" t="n">
        <v>116.2</v>
      </c>
      <c r="E126" s="1" t="n">
        <v>0.488</v>
      </c>
      <c r="F126" s="1" t="n">
        <v>408474</v>
      </c>
      <c r="G126" s="1" t="s">
        <v>194</v>
      </c>
      <c r="H126" s="1" t="n">
        <v>-42.94</v>
      </c>
      <c r="I126" s="1" t="n">
        <v>0.5364</v>
      </c>
      <c r="J126" s="6" t="n">
        <v>2.333</v>
      </c>
      <c r="K126" s="6" t="n">
        <v>2.083</v>
      </c>
    </row>
    <row r="127" customFormat="false" ht="15" hidden="false" customHeight="true" outlineLevel="0" collapsed="false">
      <c r="A127" s="1" t="s">
        <v>125</v>
      </c>
      <c r="B127" s="1" t="s">
        <v>29</v>
      </c>
      <c r="C127" s="1" t="n">
        <v>-79.19</v>
      </c>
      <c r="D127" s="1" t="n">
        <v>147.3</v>
      </c>
      <c r="E127" s="1" t="n">
        <v>0.215</v>
      </c>
      <c r="F127" s="1" t="n">
        <v>400968</v>
      </c>
      <c r="G127" s="1" t="s">
        <v>160</v>
      </c>
      <c r="H127" s="1" t="n">
        <v>-42.78</v>
      </c>
      <c r="I127" s="1" t="n">
        <v>0.5273</v>
      </c>
      <c r="J127" s="6" t="n">
        <v>5</v>
      </c>
      <c r="K127" s="6" t="n">
        <v>4.5</v>
      </c>
    </row>
    <row r="128" customFormat="false" ht="15" hidden="false" customHeight="true" outlineLevel="0" collapsed="false">
      <c r="A128" s="1" t="s">
        <v>125</v>
      </c>
      <c r="B128" s="1" t="s">
        <v>71</v>
      </c>
      <c r="C128" s="1" t="n">
        <v>-73.86</v>
      </c>
      <c r="D128" s="1" t="n">
        <v>267.6</v>
      </c>
      <c r="E128" s="1" t="n">
        <v>0.074</v>
      </c>
      <c r="F128" s="1" t="n">
        <v>391014</v>
      </c>
      <c r="G128" s="1" t="s">
        <v>196</v>
      </c>
      <c r="H128" s="1" t="n">
        <v>-42.67</v>
      </c>
      <c r="I128" s="1" t="n">
        <v>0.6333</v>
      </c>
      <c r="J128" s="6" t="n">
        <v>2</v>
      </c>
      <c r="K128" s="6" t="n">
        <v>1.917</v>
      </c>
    </row>
    <row r="129" customFormat="false" ht="15" hidden="false" customHeight="true" outlineLevel="0" collapsed="false">
      <c r="A129" s="1" t="s">
        <v>125</v>
      </c>
      <c r="B129" s="1" t="s">
        <v>72</v>
      </c>
      <c r="C129" s="1" t="n">
        <v>-49.89</v>
      </c>
      <c r="D129" s="1" t="n">
        <v>283.6</v>
      </c>
      <c r="E129" s="1" t="n">
        <v>0.003</v>
      </c>
      <c r="F129" s="1" t="n">
        <v>380224</v>
      </c>
      <c r="G129" s="1" t="s">
        <v>197</v>
      </c>
      <c r="H129" s="1" t="n">
        <v>-42.55</v>
      </c>
      <c r="I129" s="1" t="n">
        <v>0.4576</v>
      </c>
      <c r="J129" s="6" t="n">
        <v>0.667</v>
      </c>
      <c r="K129" s="6" t="n">
        <v>0.917</v>
      </c>
    </row>
    <row r="130" customFormat="false" ht="15" hidden="false" customHeight="true" outlineLevel="0" collapsed="false">
      <c r="A130" s="1" t="s">
        <v>125</v>
      </c>
      <c r="B130" s="1" t="s">
        <v>32</v>
      </c>
      <c r="C130" s="1" t="n">
        <v>-10.58</v>
      </c>
      <c r="D130" s="1" t="n">
        <v>290.3</v>
      </c>
      <c r="E130" s="1" t="n">
        <v>0.082</v>
      </c>
      <c r="F130" s="1" t="n">
        <v>368448</v>
      </c>
      <c r="G130" s="1" t="s">
        <v>163</v>
      </c>
      <c r="H130" s="1" t="n">
        <v>-42.36</v>
      </c>
      <c r="I130" s="1" t="n">
        <v>0.3697</v>
      </c>
      <c r="J130" s="6" t="n">
        <v>3.333</v>
      </c>
      <c r="K130" s="6" t="n">
        <v>4.292</v>
      </c>
    </row>
    <row r="131" customFormat="false" ht="15" hidden="false" customHeight="true" outlineLevel="0" collapsed="false">
      <c r="A131" s="1" t="s">
        <v>125</v>
      </c>
      <c r="B131" s="1" t="s">
        <v>74</v>
      </c>
      <c r="C131" s="1" t="n">
        <v>16.52</v>
      </c>
      <c r="D131" s="1" t="n">
        <v>293</v>
      </c>
      <c r="E131" s="1" t="n">
        <v>0.252</v>
      </c>
      <c r="F131" s="1" t="n">
        <v>365530</v>
      </c>
      <c r="G131" s="1" t="s">
        <v>164</v>
      </c>
      <c r="H131" s="1" t="n">
        <v>-42.22</v>
      </c>
      <c r="I131" s="1" t="n">
        <v>0.5091</v>
      </c>
      <c r="J131" s="6" t="n">
        <v>4.667</v>
      </c>
      <c r="K131" s="6" t="n">
        <v>4.125</v>
      </c>
    </row>
    <row r="132" customFormat="false" ht="15" hidden="false" customHeight="true" outlineLevel="0" collapsed="false">
      <c r="A132" s="1" t="s">
        <v>125</v>
      </c>
      <c r="B132" s="1" t="s">
        <v>75</v>
      </c>
      <c r="C132" s="1" t="n">
        <v>43.42</v>
      </c>
      <c r="D132" s="1" t="n">
        <v>295.4</v>
      </c>
      <c r="E132" s="1" t="n">
        <v>0.472</v>
      </c>
      <c r="F132" s="1" t="n">
        <v>366259</v>
      </c>
      <c r="G132" s="1" t="s">
        <v>199</v>
      </c>
      <c r="H132" s="1" t="n">
        <v>-42.07</v>
      </c>
      <c r="I132" s="1" t="n">
        <v>0.4697</v>
      </c>
      <c r="J132" s="6" t="n">
        <v>1</v>
      </c>
      <c r="K132" s="6" t="n">
        <v>2.5</v>
      </c>
    </row>
    <row r="133" customFormat="false" ht="15" hidden="false" customHeight="true" outlineLevel="0" collapsed="false">
      <c r="A133" s="1" t="s">
        <v>125</v>
      </c>
      <c r="B133" s="1" t="s">
        <v>35</v>
      </c>
      <c r="C133" s="1" t="n">
        <v>82.65</v>
      </c>
      <c r="D133" s="1" t="n">
        <v>309.6</v>
      </c>
      <c r="E133" s="1" t="n">
        <v>0.788</v>
      </c>
      <c r="F133" s="1" t="n">
        <v>372301</v>
      </c>
      <c r="G133" s="1" t="s">
        <v>166</v>
      </c>
      <c r="H133" s="1" t="n">
        <v>-41.84</v>
      </c>
      <c r="I133" s="1" t="n">
        <v>0.3485</v>
      </c>
      <c r="J133" s="6" t="n">
        <v>1.333</v>
      </c>
      <c r="K133" s="6" t="n">
        <v>2.125</v>
      </c>
    </row>
    <row r="134" customFormat="false" ht="15" hidden="false" customHeight="true" outlineLevel="0" collapsed="false">
      <c r="A134" s="1" t="s">
        <v>125</v>
      </c>
      <c r="B134" s="1" t="s">
        <v>77</v>
      </c>
      <c r="C134" s="1" t="n">
        <v>71.63</v>
      </c>
      <c r="D134" s="1" t="n">
        <v>109.8</v>
      </c>
      <c r="E134" s="1" t="n">
        <v>0.932</v>
      </c>
      <c r="F134" s="1" t="n">
        <v>378883</v>
      </c>
      <c r="G134" s="1" t="s">
        <v>201</v>
      </c>
      <c r="H134" s="1" t="n">
        <v>-41.67</v>
      </c>
      <c r="I134" s="1" t="n">
        <v>0.5212</v>
      </c>
      <c r="J134" s="6" t="n">
        <v>3.333</v>
      </c>
      <c r="K134" s="6" t="n">
        <v>2.333</v>
      </c>
    </row>
    <row r="135" customFormat="false" ht="15" hidden="false" customHeight="true" outlineLevel="0" collapsed="false">
      <c r="A135" s="1" t="s">
        <v>125</v>
      </c>
      <c r="B135" s="1" t="s">
        <v>78</v>
      </c>
      <c r="C135" s="1" t="n">
        <v>47.18</v>
      </c>
      <c r="D135" s="1" t="n">
        <v>113.7</v>
      </c>
      <c r="E135" s="1" t="n">
        <v>0.996</v>
      </c>
      <c r="F135" s="1" t="n">
        <v>387020</v>
      </c>
      <c r="G135" s="1" t="s">
        <v>202</v>
      </c>
      <c r="H135" s="1" t="n">
        <v>-41.49</v>
      </c>
      <c r="I135" s="1" t="n">
        <v>0.6515</v>
      </c>
      <c r="J135" s="6" t="n">
        <v>3</v>
      </c>
      <c r="K135" s="6" t="n">
        <v>2</v>
      </c>
    </row>
    <row r="136" customFormat="false" ht="15" hidden="false" customHeight="true" outlineLevel="0" collapsed="false">
      <c r="A136" s="1" t="s">
        <v>125</v>
      </c>
      <c r="B136" s="1" t="s">
        <v>79</v>
      </c>
      <c r="C136" s="1" t="n">
        <v>-9.98</v>
      </c>
      <c r="D136" s="1" t="n">
        <v>115.2</v>
      </c>
      <c r="E136" s="1" t="n">
        <v>0.821</v>
      </c>
      <c r="F136" s="1" t="n">
        <v>405657</v>
      </c>
      <c r="G136" s="1" t="s">
        <v>203</v>
      </c>
      <c r="H136" s="1" t="n">
        <v>-41.02</v>
      </c>
      <c r="I136" s="1" t="n">
        <v>0.6939</v>
      </c>
      <c r="J136" s="6" t="n">
        <v>2</v>
      </c>
      <c r="K136" s="6" t="n">
        <v>2.167</v>
      </c>
    </row>
    <row r="137" customFormat="false" ht="15" hidden="false" customHeight="true" outlineLevel="0" collapsed="false">
      <c r="A137" s="1" t="s">
        <v>125</v>
      </c>
      <c r="B137" s="1" t="s">
        <v>80</v>
      </c>
      <c r="C137" s="1" t="n">
        <v>-31.78</v>
      </c>
      <c r="D137" s="1" t="n">
        <v>114.4</v>
      </c>
      <c r="E137" s="1" t="n">
        <v>0.658</v>
      </c>
      <c r="F137" s="1" t="n">
        <v>407457</v>
      </c>
      <c r="G137" s="1" t="s">
        <v>204</v>
      </c>
      <c r="H137" s="1" t="n">
        <v>-40.81</v>
      </c>
      <c r="I137" s="1" t="n">
        <v>0.3818</v>
      </c>
      <c r="J137" s="6" t="n">
        <v>2</v>
      </c>
      <c r="K137" s="6" t="n">
        <v>1.667</v>
      </c>
    </row>
    <row r="138" customFormat="false" ht="15" hidden="false" customHeight="true" outlineLevel="0" collapsed="false">
      <c r="A138" s="1" t="s">
        <v>125</v>
      </c>
      <c r="B138" s="1" t="s">
        <v>39</v>
      </c>
      <c r="C138" s="1" t="n">
        <v>-64.85</v>
      </c>
      <c r="D138" s="1" t="n">
        <v>108.8</v>
      </c>
      <c r="E138" s="1" t="n">
        <v>0.372</v>
      </c>
      <c r="F138" s="1" t="n">
        <v>400275</v>
      </c>
      <c r="G138" s="1" t="s">
        <v>169</v>
      </c>
      <c r="H138" s="1" t="n">
        <v>-40.48</v>
      </c>
      <c r="I138" s="1" t="n">
        <v>0.6636</v>
      </c>
      <c r="J138" s="6" t="n">
        <v>2.333</v>
      </c>
      <c r="K138" s="6" t="n">
        <v>2.417</v>
      </c>
    </row>
    <row r="139" customFormat="false" ht="15" hidden="false" customHeight="true" outlineLevel="0" collapsed="false">
      <c r="A139" s="1" t="s">
        <v>125</v>
      </c>
      <c r="B139" s="1" t="s">
        <v>82</v>
      </c>
      <c r="C139" s="1" t="n">
        <v>-85.35</v>
      </c>
      <c r="D139" s="1" t="n">
        <v>44.3</v>
      </c>
      <c r="E139" s="1" t="n">
        <v>0.189</v>
      </c>
      <c r="F139" s="1" t="n">
        <v>389930</v>
      </c>
      <c r="G139" s="1" t="s">
        <v>184</v>
      </c>
      <c r="H139" s="1" t="n">
        <v>-40.26</v>
      </c>
      <c r="I139" s="1" t="n">
        <v>0.7818</v>
      </c>
      <c r="J139" s="6" t="n">
        <v>0.333</v>
      </c>
      <c r="K139" s="6" t="n">
        <v>0.667</v>
      </c>
    </row>
    <row r="140" customFormat="false" ht="15" hidden="false" customHeight="true" outlineLevel="0" collapsed="false">
      <c r="A140" s="1" t="s">
        <v>125</v>
      </c>
      <c r="B140" s="1" t="s">
        <v>83</v>
      </c>
      <c r="C140" s="1" t="n">
        <v>-65.72</v>
      </c>
      <c r="D140" s="1" t="n">
        <v>309</v>
      </c>
      <c r="E140" s="1" t="n">
        <v>0.051</v>
      </c>
      <c r="F140" s="1" t="n">
        <v>378024</v>
      </c>
      <c r="G140" s="1" t="s">
        <v>206</v>
      </c>
      <c r="H140" s="1" t="n">
        <v>-40.02</v>
      </c>
      <c r="I140" s="1" t="n">
        <v>0.5</v>
      </c>
      <c r="J140" s="6" t="n">
        <v>1</v>
      </c>
      <c r="K140" s="6" t="n">
        <v>1.042</v>
      </c>
    </row>
    <row r="141" customFormat="false" ht="15" hidden="false" customHeight="true" outlineLevel="0" collapsed="false">
      <c r="A141" s="1" t="s">
        <v>125</v>
      </c>
      <c r="B141" s="1" t="s">
        <v>42</v>
      </c>
      <c r="C141" s="1" t="n">
        <v>-25.52</v>
      </c>
      <c r="D141" s="1" t="n">
        <v>300.7</v>
      </c>
      <c r="E141" s="1" t="n">
        <v>0.018</v>
      </c>
      <c r="F141" s="1" t="n">
        <v>364779</v>
      </c>
      <c r="G141" s="1" t="s">
        <v>172</v>
      </c>
      <c r="H141" s="1" t="n">
        <v>-39.65</v>
      </c>
      <c r="I141" s="1" t="n">
        <v>0.4182</v>
      </c>
      <c r="J141" s="6" t="n">
        <v>3.667</v>
      </c>
      <c r="K141" s="6" t="n">
        <v>4.208</v>
      </c>
    </row>
    <row r="142" customFormat="false" ht="15" hidden="false" customHeight="true" outlineLevel="0" collapsed="false">
      <c r="A142" s="1" t="s">
        <v>125</v>
      </c>
      <c r="B142" s="1" t="s">
        <v>85</v>
      </c>
      <c r="C142" s="1" t="n">
        <v>2.47</v>
      </c>
      <c r="D142" s="1" t="n">
        <v>297.5</v>
      </c>
      <c r="E142" s="1" t="n">
        <v>0.133</v>
      </c>
      <c r="F142" s="1" t="n">
        <v>362505</v>
      </c>
      <c r="G142" s="1" t="s">
        <v>208</v>
      </c>
      <c r="H142" s="1" t="n">
        <v>-39.4</v>
      </c>
      <c r="I142" s="1" t="n">
        <v>0.5848</v>
      </c>
      <c r="J142" s="6" t="n">
        <v>3.333</v>
      </c>
      <c r="K142" s="6" t="n">
        <v>3.292</v>
      </c>
    </row>
    <row r="143" customFormat="false" ht="15" hidden="false" customHeight="true" outlineLevel="0" collapsed="false">
      <c r="A143" s="1" t="s">
        <v>125</v>
      </c>
      <c r="B143" s="1" t="s">
        <v>86</v>
      </c>
      <c r="C143" s="1" t="n">
        <v>29.41</v>
      </c>
      <c r="D143" s="1" t="n">
        <v>293.1</v>
      </c>
      <c r="E143" s="1" t="n">
        <v>0.328</v>
      </c>
      <c r="F143" s="1" t="n">
        <v>365423</v>
      </c>
      <c r="G143" s="1" t="s">
        <v>209</v>
      </c>
      <c r="H143" s="1" t="n">
        <v>-39.14</v>
      </c>
      <c r="I143" s="1" t="n">
        <v>0.7455</v>
      </c>
      <c r="J143" s="6" t="n">
        <v>1.667</v>
      </c>
      <c r="K143" s="6" t="n">
        <v>1.125</v>
      </c>
    </row>
    <row r="144" customFormat="false" ht="15" hidden="false" customHeight="true" outlineLevel="0" collapsed="false">
      <c r="A144" s="1" t="s">
        <v>125</v>
      </c>
      <c r="B144" s="1" t="s">
        <v>45</v>
      </c>
      <c r="C144" s="1" t="n">
        <v>66.92</v>
      </c>
      <c r="D144" s="1" t="n">
        <v>273.8</v>
      </c>
      <c r="E144" s="1" t="n">
        <v>0.656</v>
      </c>
      <c r="F144" s="1" t="n">
        <v>375335</v>
      </c>
      <c r="G144" s="1" t="s">
        <v>162</v>
      </c>
      <c r="H144" s="1" t="n">
        <v>-38.75</v>
      </c>
      <c r="I144" s="1" t="n">
        <v>0.5576</v>
      </c>
      <c r="J144" s="6" t="n">
        <v>1</v>
      </c>
      <c r="K144" s="6" t="n">
        <v>1.833</v>
      </c>
    </row>
    <row r="145" customFormat="false" ht="15" hidden="false" customHeight="true" outlineLevel="0" collapsed="false">
      <c r="A145" s="1" t="s">
        <v>125</v>
      </c>
      <c r="B145" s="1" t="s">
        <v>88</v>
      </c>
      <c r="C145" s="1" t="n">
        <v>78.33</v>
      </c>
      <c r="D145" s="1" t="n">
        <v>188.7</v>
      </c>
      <c r="E145" s="1" t="n">
        <v>0.836</v>
      </c>
      <c r="F145" s="1" t="n">
        <v>383075</v>
      </c>
      <c r="G145" s="1" t="s">
        <v>211</v>
      </c>
      <c r="H145" s="1" t="n">
        <v>-38.48</v>
      </c>
      <c r="I145" s="1" t="n">
        <v>0.503</v>
      </c>
      <c r="J145" s="6" t="n">
        <v>1</v>
      </c>
      <c r="K145" s="6" t="n">
        <v>1.417</v>
      </c>
    </row>
    <row r="146" customFormat="false" ht="15" hidden="false" customHeight="true" outlineLevel="0" collapsed="false">
      <c r="A146" s="1" t="s">
        <v>125</v>
      </c>
      <c r="B146" s="1" t="s">
        <v>89</v>
      </c>
      <c r="C146" s="1" t="n">
        <v>59.89</v>
      </c>
      <c r="D146" s="1" t="n">
        <v>140.2</v>
      </c>
      <c r="E146" s="1" t="n">
        <v>0.954</v>
      </c>
      <c r="F146" s="1" t="n">
        <v>390675</v>
      </c>
      <c r="G146" s="1" t="s">
        <v>212</v>
      </c>
      <c r="H146" s="1" t="n">
        <v>-38.2</v>
      </c>
      <c r="I146" s="1" t="n">
        <v>0.6758</v>
      </c>
      <c r="J146" s="6" t="n">
        <v>1.333</v>
      </c>
      <c r="K146" s="6" t="n">
        <v>0.708</v>
      </c>
    </row>
    <row r="147" customFormat="false" ht="15" hidden="false" customHeight="true" outlineLevel="0" collapsed="false">
      <c r="A147" s="1" t="s">
        <v>125</v>
      </c>
      <c r="B147" s="1" t="s">
        <v>48</v>
      </c>
      <c r="C147" s="1" t="n">
        <v>26.96</v>
      </c>
      <c r="D147" s="1" t="n">
        <v>126</v>
      </c>
      <c r="E147" s="1" t="n">
        <v>0.992</v>
      </c>
      <c r="F147" s="1" t="n">
        <v>400671</v>
      </c>
      <c r="G147" s="1" t="s">
        <v>176</v>
      </c>
      <c r="H147" s="1" t="n">
        <v>-37.79</v>
      </c>
      <c r="I147" s="1" t="n">
        <v>0.4455</v>
      </c>
      <c r="J147" s="6" t="n">
        <v>1.333</v>
      </c>
      <c r="K147" s="6" t="n">
        <v>1.667</v>
      </c>
    </row>
    <row r="148" customFormat="false" ht="15" hidden="false" customHeight="true" outlineLevel="0" collapsed="false">
      <c r="A148" s="1" t="s">
        <v>125</v>
      </c>
      <c r="B148" s="1" t="s">
        <v>91</v>
      </c>
      <c r="C148" s="1" t="n">
        <v>5.51</v>
      </c>
      <c r="D148" s="1" t="n">
        <v>120.6</v>
      </c>
      <c r="E148" s="1" t="n">
        <v>0.927</v>
      </c>
      <c r="F148" s="1" t="n">
        <v>405120</v>
      </c>
      <c r="G148" s="1" t="s">
        <v>214</v>
      </c>
      <c r="H148" s="1" t="n">
        <v>-37.51</v>
      </c>
      <c r="I148" s="1" t="n">
        <v>0.5485</v>
      </c>
      <c r="J148" s="6" t="n">
        <v>2.667</v>
      </c>
      <c r="K148" s="6" t="n">
        <v>3.125</v>
      </c>
    </row>
    <row r="149" customFormat="false" ht="15" hidden="false" customHeight="true" outlineLevel="0" collapsed="false">
      <c r="A149" s="1" t="s">
        <v>125</v>
      </c>
      <c r="B149" s="1" t="s">
        <v>92</v>
      </c>
      <c r="C149" s="1" t="n">
        <v>-15.8</v>
      </c>
      <c r="D149" s="1" t="n">
        <v>115</v>
      </c>
      <c r="E149" s="1" t="n">
        <v>0.802</v>
      </c>
      <c r="F149" s="1" t="n">
        <v>406303</v>
      </c>
      <c r="G149" s="1" t="s">
        <v>168</v>
      </c>
      <c r="H149" s="1" t="n">
        <v>-37.22</v>
      </c>
      <c r="I149" s="1" t="n">
        <v>0.5242</v>
      </c>
      <c r="J149" s="6" t="n">
        <v>0.333</v>
      </c>
      <c r="K149" s="6" t="n">
        <v>0.417</v>
      </c>
    </row>
    <row r="150" customFormat="false" ht="15" hidden="false" customHeight="true" outlineLevel="0" collapsed="false">
      <c r="A150" s="1" t="s">
        <v>125</v>
      </c>
      <c r="B150" s="1" t="s">
        <v>51</v>
      </c>
      <c r="C150" s="1" t="n">
        <v>-47.07</v>
      </c>
      <c r="D150" s="1" t="n">
        <v>101</v>
      </c>
      <c r="E150" s="1" t="n">
        <v>0.537</v>
      </c>
      <c r="F150" s="1" t="n">
        <v>399695</v>
      </c>
      <c r="G150" s="1" t="s">
        <v>178</v>
      </c>
      <c r="H150" s="1" t="n">
        <v>-36.8</v>
      </c>
      <c r="I150" s="1" t="n">
        <v>0.4818</v>
      </c>
      <c r="J150" s="6" t="n">
        <v>0.667</v>
      </c>
      <c r="K150" s="6" t="n">
        <v>1.083</v>
      </c>
    </row>
    <row r="151" customFormat="false" ht="15" hidden="false" customHeight="true" outlineLevel="0" collapsed="false">
      <c r="A151" s="1" t="s">
        <v>125</v>
      </c>
      <c r="B151" s="1" t="s">
        <v>94</v>
      </c>
      <c r="C151" s="1" t="n">
        <v>-66.11</v>
      </c>
      <c r="D151" s="1" t="n">
        <v>75.1</v>
      </c>
      <c r="E151" s="1" t="n">
        <v>0.335</v>
      </c>
      <c r="F151" s="1" t="n">
        <v>389826</v>
      </c>
      <c r="G151" s="1" t="s">
        <v>184</v>
      </c>
      <c r="H151" s="1" t="n">
        <v>-36.52</v>
      </c>
      <c r="I151" s="1" t="n">
        <v>0.597</v>
      </c>
      <c r="J151" s="6" t="n">
        <v>1.667</v>
      </c>
      <c r="K151" s="6" t="n">
        <v>1.167</v>
      </c>
    </row>
    <row r="152" customFormat="false" ht="15" hidden="false" customHeight="true" outlineLevel="0" collapsed="false">
      <c r="A152" s="1" t="s">
        <v>125</v>
      </c>
      <c r="B152" s="1" t="s">
        <v>95</v>
      </c>
      <c r="C152" s="1" t="n">
        <v>-70.29</v>
      </c>
      <c r="D152" s="1" t="n">
        <v>4.4</v>
      </c>
      <c r="E152" s="1" t="n">
        <v>0.149</v>
      </c>
      <c r="F152" s="1" t="n">
        <v>377715</v>
      </c>
      <c r="G152" s="1" t="s">
        <v>215</v>
      </c>
      <c r="H152" s="1" t="n">
        <v>-36.24</v>
      </c>
      <c r="I152" s="1" t="n">
        <v>0.5939</v>
      </c>
      <c r="J152" s="6" t="n">
        <v>3</v>
      </c>
      <c r="K152" s="6" t="n">
        <v>2</v>
      </c>
    </row>
    <row r="153" customFormat="false" ht="15" hidden="false" customHeight="true" outlineLevel="0" collapsed="false">
      <c r="A153" s="1" t="s">
        <v>125</v>
      </c>
      <c r="B153" s="1" t="s">
        <v>54</v>
      </c>
      <c r="C153" s="1" t="n">
        <v>-38.43</v>
      </c>
      <c r="D153" s="1" t="n">
        <v>315</v>
      </c>
      <c r="E153" s="1" t="n">
        <v>0.003</v>
      </c>
      <c r="F153" s="1" t="n">
        <v>363013</v>
      </c>
      <c r="G153" s="1" t="s">
        <v>180</v>
      </c>
      <c r="H153" s="1" t="n">
        <v>-35.82</v>
      </c>
      <c r="I153" s="1" t="n">
        <v>0.5061</v>
      </c>
      <c r="J153" s="6" t="n">
        <v>2.667</v>
      </c>
      <c r="K153" s="6" t="n">
        <v>4.125</v>
      </c>
    </row>
    <row r="154" customFormat="false" ht="15" hidden="false" customHeight="true" outlineLevel="0" collapsed="false">
      <c r="A154" s="1" t="s">
        <v>125</v>
      </c>
      <c r="B154" s="1" t="s">
        <v>97</v>
      </c>
      <c r="C154" s="1" t="n">
        <v>-12.12</v>
      </c>
      <c r="D154" s="1" t="n">
        <v>303</v>
      </c>
      <c r="E154" s="1" t="n">
        <v>0.047</v>
      </c>
      <c r="F154" s="1" t="n">
        <v>360236</v>
      </c>
      <c r="G154" s="1" t="s">
        <v>217</v>
      </c>
      <c r="H154" s="1" t="n">
        <v>-35.55</v>
      </c>
      <c r="I154" s="1" t="n">
        <v>0.7121</v>
      </c>
      <c r="J154" s="6" t="n">
        <v>2.667</v>
      </c>
      <c r="K154" s="6" t="n">
        <v>2.167</v>
      </c>
    </row>
    <row r="155" customFormat="false" ht="15" hidden="false" customHeight="true" outlineLevel="0" collapsed="false">
      <c r="A155" s="1" t="s">
        <v>125</v>
      </c>
      <c r="B155" s="1" t="s">
        <v>98</v>
      </c>
      <c r="C155" s="1" t="n">
        <v>13.95</v>
      </c>
      <c r="D155" s="1" t="n">
        <v>292.6</v>
      </c>
      <c r="E155" s="1" t="n">
        <v>0.195</v>
      </c>
      <c r="F155" s="1" t="n">
        <v>363934</v>
      </c>
      <c r="G155" s="1" t="s">
        <v>218</v>
      </c>
      <c r="H155" s="1" t="n">
        <v>-35.28</v>
      </c>
      <c r="I155" s="1" t="n">
        <v>0.4242</v>
      </c>
      <c r="J155" s="6" t="n">
        <v>1.333</v>
      </c>
      <c r="K155" s="6" t="n">
        <v>1.667</v>
      </c>
    </row>
    <row r="156" customFormat="false" ht="15" hidden="false" customHeight="true" outlineLevel="0" collapsed="false">
      <c r="A156" s="1" t="s">
        <v>125</v>
      </c>
      <c r="B156" s="1" t="s">
        <v>57</v>
      </c>
      <c r="C156" s="1" t="n">
        <v>48.34</v>
      </c>
      <c r="D156" s="1" t="n">
        <v>269.1</v>
      </c>
      <c r="E156" s="1" t="n">
        <v>0.511</v>
      </c>
      <c r="F156" s="1" t="n">
        <v>376633</v>
      </c>
      <c r="G156" s="1" t="s">
        <v>183</v>
      </c>
      <c r="H156" s="1" t="n">
        <v>-34.89</v>
      </c>
      <c r="I156" s="1" t="n">
        <v>0.6909</v>
      </c>
      <c r="J156" s="6" t="n">
        <v>0.333</v>
      </c>
      <c r="K156" s="6" t="n">
        <v>0.291</v>
      </c>
    </row>
    <row r="157" customFormat="false" ht="15" hidden="false" customHeight="true" outlineLevel="0" collapsed="false">
      <c r="A157" s="1" t="s">
        <v>125</v>
      </c>
      <c r="B157" s="1" t="s">
        <v>100</v>
      </c>
      <c r="C157" s="1" t="n">
        <v>63.45</v>
      </c>
      <c r="D157" s="1" t="n">
        <v>233.5</v>
      </c>
      <c r="E157" s="1" t="n">
        <v>0.712</v>
      </c>
      <c r="F157" s="1" t="n">
        <v>385783</v>
      </c>
      <c r="G157" s="1" t="s">
        <v>219</v>
      </c>
      <c r="H157" s="1" t="n">
        <v>-34.64</v>
      </c>
      <c r="I157" s="1" t="n">
        <v>0.6636</v>
      </c>
      <c r="J157" s="6" t="n">
        <v>1.667</v>
      </c>
      <c r="K157" s="6" t="n">
        <v>1.958</v>
      </c>
    </row>
    <row r="158" customFormat="false" ht="15" hidden="false" customHeight="true" outlineLevel="0" collapsed="false">
      <c r="A158" s="1" t="s">
        <v>125</v>
      </c>
      <c r="B158" s="1" t="s">
        <v>101</v>
      </c>
      <c r="C158" s="1" t="n">
        <v>62.16</v>
      </c>
      <c r="D158" s="1" t="n">
        <v>180.8</v>
      </c>
      <c r="E158" s="1" t="n">
        <v>0.869</v>
      </c>
      <c r="F158" s="1" t="n">
        <v>393503</v>
      </c>
      <c r="G158" s="1" t="s">
        <v>220</v>
      </c>
      <c r="H158" s="1" t="n">
        <v>-34.39</v>
      </c>
      <c r="I158" s="1" t="n">
        <v>0.6697</v>
      </c>
      <c r="J158" s="6" t="n">
        <v>1.667</v>
      </c>
      <c r="K158" s="6" t="n">
        <v>2.208</v>
      </c>
    </row>
    <row r="159" customFormat="false" ht="15" hidden="false" customHeight="true" outlineLevel="0" collapsed="false">
      <c r="A159" s="1" t="s">
        <v>125</v>
      </c>
      <c r="B159" s="1" t="s">
        <v>60</v>
      </c>
      <c r="C159" s="1" t="n">
        <v>38.46</v>
      </c>
      <c r="D159" s="1" t="n">
        <v>140.9</v>
      </c>
      <c r="E159" s="1" t="n">
        <v>0.992</v>
      </c>
      <c r="F159" s="1" t="n">
        <v>401452</v>
      </c>
      <c r="G159" s="1" t="s">
        <v>186</v>
      </c>
      <c r="H159" s="1" t="n">
        <v>-34.04</v>
      </c>
      <c r="I159" s="1" t="n">
        <v>0.4455</v>
      </c>
      <c r="J159" s="6" t="n">
        <v>2</v>
      </c>
      <c r="K159" s="6" t="n">
        <v>2.5</v>
      </c>
    </row>
    <row r="160" customFormat="false" ht="15" hidden="false" customHeight="true" outlineLevel="0" collapsed="false">
      <c r="A160" s="1" t="s">
        <v>125</v>
      </c>
      <c r="B160" s="1" t="s">
        <v>103</v>
      </c>
      <c r="C160" s="1" t="n">
        <v>19.48</v>
      </c>
      <c r="D160" s="1" t="n">
        <v>127.8</v>
      </c>
      <c r="E160" s="1" t="n">
        <v>0.986</v>
      </c>
      <c r="F160" s="1" t="n">
        <v>404150</v>
      </c>
      <c r="G160" s="1" t="s">
        <v>222</v>
      </c>
      <c r="H160" s="1" t="n">
        <v>-33.82</v>
      </c>
      <c r="I160" s="1" t="n">
        <v>0.4818</v>
      </c>
      <c r="J160" s="6" t="n">
        <v>2.667</v>
      </c>
      <c r="K160" s="6" t="n">
        <v>1.792</v>
      </c>
    </row>
    <row r="161" customFormat="false" ht="15" hidden="false" customHeight="true" outlineLevel="0" collapsed="false">
      <c r="A161" s="1" t="s">
        <v>125</v>
      </c>
      <c r="B161" s="1" t="s">
        <v>104</v>
      </c>
      <c r="C161" s="1" t="n">
        <v>0.54</v>
      </c>
      <c r="D161" s="1" t="n">
        <v>117</v>
      </c>
      <c r="E161" s="1" t="n">
        <v>0.911</v>
      </c>
      <c r="F161" s="1" t="n">
        <v>404282</v>
      </c>
      <c r="G161" s="1" t="s">
        <v>222</v>
      </c>
      <c r="H161" s="1" t="n">
        <v>-33.61</v>
      </c>
      <c r="I161" s="1" t="n">
        <v>0.5</v>
      </c>
      <c r="J161" s="6" t="n">
        <v>1.333</v>
      </c>
      <c r="K161" s="6" t="n">
        <v>2.167</v>
      </c>
    </row>
    <row r="162" customFormat="false" ht="15" hidden="false" customHeight="true" outlineLevel="0" collapsed="false">
      <c r="A162" s="1" t="s">
        <v>125</v>
      </c>
      <c r="B162" s="1" t="s">
        <v>63</v>
      </c>
      <c r="C162" s="1" t="n">
        <v>-28.61</v>
      </c>
      <c r="D162" s="1" t="n">
        <v>98.7</v>
      </c>
      <c r="E162" s="1" t="n">
        <v>0.689</v>
      </c>
      <c r="F162" s="1" t="n">
        <v>398165</v>
      </c>
      <c r="G162" s="1" t="s">
        <v>189</v>
      </c>
      <c r="H162" s="1" t="n">
        <v>-33.31</v>
      </c>
      <c r="I162" s="1" t="n">
        <v>0.4667</v>
      </c>
      <c r="J162" s="6" t="n">
        <v>3.667</v>
      </c>
      <c r="K162" s="6" t="n">
        <v>3.208</v>
      </c>
    </row>
    <row r="163" customFormat="false" ht="15" hidden="false" customHeight="true" outlineLevel="0" collapsed="false">
      <c r="A163" s="1" t="s">
        <v>125</v>
      </c>
      <c r="B163" s="1" t="s">
        <v>106</v>
      </c>
      <c r="C163" s="1" t="n">
        <v>-46.32</v>
      </c>
      <c r="D163" s="1" t="n">
        <v>79</v>
      </c>
      <c r="E163" s="1" t="n">
        <v>0.489</v>
      </c>
      <c r="F163" s="1" t="n">
        <v>389534</v>
      </c>
      <c r="G163" s="1" t="s">
        <v>223</v>
      </c>
      <c r="H163" s="1" t="n">
        <v>-33.13</v>
      </c>
      <c r="I163" s="1" t="n">
        <v>0.4242</v>
      </c>
      <c r="J163" s="6" t="n">
        <v>2.667</v>
      </c>
      <c r="K163" s="6" t="n">
        <v>1.833</v>
      </c>
    </row>
    <row r="164" customFormat="false" ht="15" hidden="false" customHeight="true" outlineLevel="0" collapsed="false">
      <c r="A164" s="1" t="s">
        <v>125</v>
      </c>
      <c r="B164" s="1" t="s">
        <v>107</v>
      </c>
      <c r="C164" s="1" t="n">
        <v>-58.38</v>
      </c>
      <c r="D164" s="1" t="n">
        <v>42.6</v>
      </c>
      <c r="E164" s="1" t="n">
        <v>0.279</v>
      </c>
      <c r="F164" s="1" t="n">
        <v>378499</v>
      </c>
      <c r="G164" s="1" t="s">
        <v>224</v>
      </c>
      <c r="H164" s="1" t="n">
        <v>-32.96</v>
      </c>
      <c r="I164" s="1" t="n">
        <v>0.6182</v>
      </c>
      <c r="J164" s="6" t="n">
        <v>2.333</v>
      </c>
      <c r="K164" s="6" t="n">
        <v>1.667</v>
      </c>
    </row>
    <row r="165" customFormat="false" ht="15" hidden="false" customHeight="true" outlineLevel="0" collapsed="false">
      <c r="A165" s="1" t="s">
        <v>125</v>
      </c>
      <c r="B165" s="1" t="s">
        <v>66</v>
      </c>
      <c r="C165" s="1" t="n">
        <v>-47.08</v>
      </c>
      <c r="D165" s="1" t="n">
        <v>335.1</v>
      </c>
      <c r="E165" s="1" t="n">
        <v>0.04</v>
      </c>
      <c r="F165" s="1" t="n">
        <v>363809</v>
      </c>
      <c r="G165" s="1" t="s">
        <v>192</v>
      </c>
      <c r="H165" s="1" t="n">
        <v>-32.73</v>
      </c>
      <c r="I165" s="1" t="n">
        <v>0.5394</v>
      </c>
      <c r="J165" s="6"/>
      <c r="K165" s="6"/>
    </row>
    <row r="166" customFormat="false" ht="15" hidden="false" customHeight="true" outlineLevel="0" collapsed="false">
      <c r="A166" s="1" t="s">
        <v>125</v>
      </c>
      <c r="B166" s="1" t="s">
        <v>109</v>
      </c>
      <c r="C166" s="1" t="n">
        <v>-26.03</v>
      </c>
      <c r="D166" s="1" t="n">
        <v>311</v>
      </c>
      <c r="E166" s="1" t="n">
        <v>0.004</v>
      </c>
      <c r="F166" s="1" t="n">
        <v>360273</v>
      </c>
      <c r="G166" s="1" t="s">
        <v>217</v>
      </c>
      <c r="H166" s="1" t="n">
        <v>-32.59</v>
      </c>
      <c r="I166" s="1" t="n">
        <v>0.4061</v>
      </c>
      <c r="J166" s="6"/>
      <c r="K166" s="6"/>
    </row>
    <row r="167" customFormat="false" ht="15" hidden="false" customHeight="true" outlineLevel="0" collapsed="false">
      <c r="A167" s="1" t="s">
        <v>126</v>
      </c>
      <c r="B167" s="1" t="s">
        <v>27</v>
      </c>
      <c r="C167" s="1" t="n">
        <v>-37.24</v>
      </c>
      <c r="D167" s="1" t="n">
        <v>113.3</v>
      </c>
      <c r="E167" s="1" t="n">
        <v>0.583</v>
      </c>
      <c r="F167" s="1" t="n">
        <v>408208</v>
      </c>
      <c r="G167" s="1" t="s">
        <v>158</v>
      </c>
      <c r="H167" s="1" t="n">
        <v>-42.99</v>
      </c>
      <c r="I167" s="1" t="n">
        <v>0.6149</v>
      </c>
      <c r="J167" s="6" t="n">
        <v>2.667</v>
      </c>
      <c r="K167" s="6" t="n">
        <v>2.667</v>
      </c>
    </row>
    <row r="168" customFormat="false" ht="15" hidden="false" customHeight="true" outlineLevel="0" collapsed="false">
      <c r="A168" s="1" t="s">
        <v>126</v>
      </c>
      <c r="B168" s="1" t="s">
        <v>70</v>
      </c>
      <c r="C168" s="1" t="n">
        <v>-69.15</v>
      </c>
      <c r="D168" s="1" t="n">
        <v>127.4</v>
      </c>
      <c r="E168" s="1" t="n">
        <v>0.302</v>
      </c>
      <c r="F168" s="1" t="n">
        <v>404724</v>
      </c>
      <c r="G168" s="1" t="s">
        <v>195</v>
      </c>
      <c r="H168" s="1" t="n">
        <v>-42.84</v>
      </c>
      <c r="I168" s="1" t="n">
        <v>0.342</v>
      </c>
      <c r="J168" s="6" t="n">
        <v>1.667</v>
      </c>
      <c r="K168" s="6" t="n">
        <v>3.25</v>
      </c>
    </row>
    <row r="169" customFormat="false" ht="15" hidden="false" customHeight="true" outlineLevel="0" collapsed="false">
      <c r="A169" s="1" t="s">
        <v>126</v>
      </c>
      <c r="B169" s="1" t="s">
        <v>111</v>
      </c>
      <c r="C169" s="1" t="n">
        <v>-82.84</v>
      </c>
      <c r="D169" s="1" t="n">
        <v>224.7</v>
      </c>
      <c r="E169" s="1" t="n">
        <v>0.138</v>
      </c>
      <c r="F169" s="1" t="n">
        <v>396286</v>
      </c>
      <c r="G169" s="1" t="s">
        <v>226</v>
      </c>
      <c r="H169" s="1" t="n">
        <v>-42.73</v>
      </c>
      <c r="I169" s="1" t="n">
        <v>0.796</v>
      </c>
      <c r="J169" s="6" t="n">
        <v>2.667</v>
      </c>
      <c r="K169" s="6" t="n">
        <v>3.083</v>
      </c>
    </row>
    <row r="170" customFormat="false" ht="15" hidden="false" customHeight="true" outlineLevel="0" collapsed="false">
      <c r="A170" s="1" t="s">
        <v>126</v>
      </c>
      <c r="B170" s="1" t="s">
        <v>30</v>
      </c>
      <c r="C170" s="1" t="n">
        <v>-62.24</v>
      </c>
      <c r="D170" s="1" t="n">
        <v>278.6</v>
      </c>
      <c r="E170" s="1" t="n">
        <v>0.028</v>
      </c>
      <c r="F170" s="1" t="n">
        <v>385532</v>
      </c>
      <c r="G170" s="1" t="s">
        <v>161</v>
      </c>
      <c r="H170" s="1" t="n">
        <v>-42.61</v>
      </c>
      <c r="I170" s="1" t="n">
        <v>0.6293</v>
      </c>
      <c r="J170" s="6" t="n">
        <v>0.667</v>
      </c>
      <c r="K170" s="6" t="n">
        <v>0.833</v>
      </c>
    </row>
    <row r="171" customFormat="false" ht="15" hidden="false" customHeight="true" outlineLevel="0" collapsed="false">
      <c r="A171" s="1" t="s">
        <v>126</v>
      </c>
      <c r="B171" s="1" t="s">
        <v>73</v>
      </c>
      <c r="C171" s="1" t="n">
        <v>-23.95</v>
      </c>
      <c r="D171" s="1" t="n">
        <v>288.7</v>
      </c>
      <c r="E171" s="1" t="n">
        <v>0.03</v>
      </c>
      <c r="F171" s="1" t="n">
        <v>371456</v>
      </c>
      <c r="G171" s="1" t="s">
        <v>198</v>
      </c>
      <c r="H171" s="1" t="n">
        <v>-42.42</v>
      </c>
      <c r="I171" s="1" t="n">
        <v>0.5172</v>
      </c>
      <c r="J171" s="6" t="n">
        <v>3</v>
      </c>
      <c r="K171" s="6" t="n">
        <v>3.625</v>
      </c>
    </row>
    <row r="172" customFormat="false" ht="15" hidden="false" customHeight="true" outlineLevel="0" collapsed="false">
      <c r="A172" s="1" t="s">
        <v>126</v>
      </c>
      <c r="B172" s="1" t="s">
        <v>112</v>
      </c>
      <c r="C172" s="1" t="n">
        <v>3.15</v>
      </c>
      <c r="D172" s="1" t="n">
        <v>291.7</v>
      </c>
      <c r="E172" s="1" t="n">
        <v>0.158</v>
      </c>
      <c r="F172" s="1" t="n">
        <v>366482</v>
      </c>
      <c r="G172" s="1" t="s">
        <v>227</v>
      </c>
      <c r="H172" s="1" t="n">
        <v>-42.29</v>
      </c>
      <c r="I172" s="1" t="n">
        <v>0.4914</v>
      </c>
      <c r="J172" s="6" t="n">
        <v>6</v>
      </c>
      <c r="K172" s="6" t="n">
        <v>5.709</v>
      </c>
    </row>
    <row r="173" customFormat="false" ht="15" hidden="false" customHeight="true" outlineLevel="0" collapsed="false">
      <c r="A173" s="1" t="s">
        <v>126</v>
      </c>
      <c r="B173" s="1" t="s">
        <v>33</v>
      </c>
      <c r="C173" s="1" t="n">
        <v>30.01</v>
      </c>
      <c r="D173" s="1" t="n">
        <v>294.2</v>
      </c>
      <c r="E173" s="1" t="n">
        <v>0.358</v>
      </c>
      <c r="F173" s="1" t="n">
        <v>365497</v>
      </c>
      <c r="G173" s="1" t="s">
        <v>164</v>
      </c>
      <c r="H173" s="1" t="n">
        <v>-42.15</v>
      </c>
      <c r="I173" s="1" t="n">
        <v>0.4713</v>
      </c>
      <c r="J173" s="6" t="n">
        <v>3</v>
      </c>
      <c r="K173" s="6" t="n">
        <v>3</v>
      </c>
    </row>
    <row r="174" customFormat="false" ht="15" hidden="false" customHeight="true" outlineLevel="0" collapsed="false">
      <c r="A174" s="1" t="s">
        <v>126</v>
      </c>
      <c r="B174" s="1" t="s">
        <v>76</v>
      </c>
      <c r="C174" s="1" t="n">
        <v>69.82</v>
      </c>
      <c r="D174" s="1" t="n">
        <v>299.7</v>
      </c>
      <c r="E174" s="1" t="n">
        <v>0.692</v>
      </c>
      <c r="F174" s="1" t="n">
        <v>369735</v>
      </c>
      <c r="G174" s="1" t="s">
        <v>200</v>
      </c>
      <c r="H174" s="1" t="n">
        <v>-41.92</v>
      </c>
      <c r="I174" s="1" t="n">
        <v>0.5144</v>
      </c>
      <c r="J174" s="6" t="n">
        <v>1</v>
      </c>
      <c r="K174" s="6" t="n">
        <v>1.583</v>
      </c>
    </row>
    <row r="175" customFormat="false" ht="15" hidden="false" customHeight="true" outlineLevel="0" collapsed="false">
      <c r="A175" s="1" t="s">
        <v>126</v>
      </c>
      <c r="B175" s="1" t="s">
        <v>113</v>
      </c>
      <c r="C175" s="1" t="n">
        <v>84.01</v>
      </c>
      <c r="D175" s="1" t="n">
        <v>97</v>
      </c>
      <c r="E175" s="1" t="n">
        <v>0.869</v>
      </c>
      <c r="F175" s="1" t="n">
        <v>375363</v>
      </c>
      <c r="G175" s="1" t="s">
        <v>162</v>
      </c>
      <c r="H175" s="1" t="n">
        <v>-41.76</v>
      </c>
      <c r="I175" s="1" t="n">
        <v>0.6236</v>
      </c>
      <c r="J175" s="6" t="n">
        <v>3.333</v>
      </c>
      <c r="K175" s="6" t="n">
        <v>2.667</v>
      </c>
    </row>
    <row r="176" customFormat="false" ht="15" hidden="false" customHeight="true" outlineLevel="0" collapsed="false">
      <c r="A176" s="1" t="s">
        <v>126</v>
      </c>
      <c r="B176" s="1" t="s">
        <v>36</v>
      </c>
      <c r="C176" s="1" t="n">
        <v>59.3</v>
      </c>
      <c r="D176" s="1" t="n">
        <v>112.5</v>
      </c>
      <c r="E176" s="1" t="n">
        <v>0.975</v>
      </c>
      <c r="F176" s="1" t="n">
        <v>382803</v>
      </c>
      <c r="G176" s="1" t="s">
        <v>167</v>
      </c>
      <c r="H176" s="1" t="n">
        <v>-41.58</v>
      </c>
      <c r="I176" s="1" t="n">
        <v>0.4741</v>
      </c>
      <c r="J176" s="6" t="n">
        <v>2</v>
      </c>
      <c r="K176" s="6" t="n">
        <v>1.625</v>
      </c>
    </row>
    <row r="177" customFormat="false" ht="15" hidden="false" customHeight="true" outlineLevel="0" collapsed="false">
      <c r="A177" s="1" t="s">
        <v>126</v>
      </c>
      <c r="B177" s="1" t="s">
        <v>114</v>
      </c>
      <c r="C177" s="1" t="n">
        <v>1.4</v>
      </c>
      <c r="D177" s="1" t="n">
        <v>115.2</v>
      </c>
      <c r="E177" s="1" t="n">
        <v>0.888</v>
      </c>
      <c r="F177" s="1" t="n">
        <v>403076</v>
      </c>
      <c r="G177" s="1" t="s">
        <v>188</v>
      </c>
      <c r="H177" s="1" t="n">
        <v>-41.12</v>
      </c>
      <c r="I177" s="1" t="n">
        <v>0.5402</v>
      </c>
      <c r="J177" s="6" t="n">
        <v>2.333</v>
      </c>
      <c r="K177" s="6" t="n">
        <v>2.458</v>
      </c>
    </row>
    <row r="178" customFormat="false" ht="15" hidden="false" customHeight="true" outlineLevel="0" collapsed="false">
      <c r="A178" s="1" t="s">
        <v>126</v>
      </c>
      <c r="B178" s="1" t="s">
        <v>37</v>
      </c>
      <c r="C178" s="1" t="n">
        <v>-20.9</v>
      </c>
      <c r="D178" s="1" t="n">
        <v>114.9</v>
      </c>
      <c r="E178" s="1" t="n">
        <v>0.744</v>
      </c>
      <c r="F178" s="1" t="n">
        <v>407177</v>
      </c>
      <c r="G178" s="1" t="s">
        <v>159</v>
      </c>
      <c r="H178" s="1" t="n">
        <v>-40.91</v>
      </c>
      <c r="I178" s="1" t="n">
        <v>0.477</v>
      </c>
      <c r="J178" s="6" t="n">
        <v>1.667</v>
      </c>
      <c r="K178" s="6" t="n">
        <v>1.833</v>
      </c>
    </row>
    <row r="179" customFormat="false" ht="15" hidden="false" customHeight="true" outlineLevel="0" collapsed="false">
      <c r="A179" s="1" t="s">
        <v>126</v>
      </c>
      <c r="B179" s="1" t="s">
        <v>81</v>
      </c>
      <c r="C179" s="1" t="n">
        <v>-53.69</v>
      </c>
      <c r="D179" s="1" t="n">
        <v>112</v>
      </c>
      <c r="E179" s="1" t="n">
        <v>0.469</v>
      </c>
      <c r="F179" s="1" t="n">
        <v>403971</v>
      </c>
      <c r="G179" s="1" t="s">
        <v>205</v>
      </c>
      <c r="H179" s="1" t="n">
        <v>-40.6</v>
      </c>
      <c r="I179" s="1" t="n">
        <v>0.5431</v>
      </c>
      <c r="J179" s="6" t="n">
        <v>4.333</v>
      </c>
      <c r="K179" s="6" t="n">
        <v>2.917</v>
      </c>
    </row>
    <row r="180" customFormat="false" ht="15" hidden="false" customHeight="true" outlineLevel="0" collapsed="false">
      <c r="A180" s="1" t="s">
        <v>126</v>
      </c>
      <c r="B180" s="1" t="s">
        <v>115</v>
      </c>
      <c r="C180" s="1" t="n">
        <v>-76.09</v>
      </c>
      <c r="D180" s="1" t="n">
        <v>100.2</v>
      </c>
      <c r="E180" s="1" t="n">
        <v>0.277</v>
      </c>
      <c r="F180" s="1" t="n">
        <v>395496</v>
      </c>
      <c r="G180" s="1" t="s">
        <v>228</v>
      </c>
      <c r="H180" s="1" t="n">
        <v>-40.37</v>
      </c>
      <c r="I180" s="1" t="n">
        <v>0.3966</v>
      </c>
      <c r="J180" s="6" t="n">
        <v>2.667</v>
      </c>
      <c r="K180" s="6" t="n">
        <v>1.917</v>
      </c>
    </row>
    <row r="181" customFormat="false" ht="15" hidden="false" customHeight="true" outlineLevel="0" collapsed="false">
      <c r="A181" s="1" t="s">
        <v>126</v>
      </c>
      <c r="B181" s="1" t="s">
        <v>40</v>
      </c>
      <c r="C181" s="1" t="n">
        <v>-78.03</v>
      </c>
      <c r="D181" s="1" t="n">
        <v>320.6</v>
      </c>
      <c r="E181" s="1" t="n">
        <v>0.112</v>
      </c>
      <c r="F181" s="1" t="n">
        <v>383959</v>
      </c>
      <c r="G181" s="1" t="s">
        <v>170</v>
      </c>
      <c r="H181" s="1" t="n">
        <v>-40.14</v>
      </c>
      <c r="I181" s="1" t="n">
        <v>0.454</v>
      </c>
      <c r="J181" s="6" t="n">
        <v>1.333</v>
      </c>
      <c r="K181" s="6" t="n">
        <v>0.667</v>
      </c>
    </row>
    <row r="182" customFormat="false" ht="15" hidden="false" customHeight="true" outlineLevel="0" collapsed="false">
      <c r="A182" s="1" t="s">
        <v>126</v>
      </c>
      <c r="B182" s="1" t="s">
        <v>84</v>
      </c>
      <c r="C182" s="1" t="n">
        <v>-39.24</v>
      </c>
      <c r="D182" s="1" t="n">
        <v>302.5</v>
      </c>
      <c r="E182" s="1" t="n">
        <v>0.001</v>
      </c>
      <c r="F182" s="1" t="n">
        <v>368062</v>
      </c>
      <c r="G182" s="1" t="s">
        <v>207</v>
      </c>
      <c r="H182" s="1" t="n">
        <v>-39.78</v>
      </c>
      <c r="I182" s="1" t="n">
        <v>0.5345</v>
      </c>
      <c r="J182" s="6" t="n">
        <v>0.333</v>
      </c>
      <c r="K182" s="6" t="n">
        <v>0.708</v>
      </c>
    </row>
    <row r="183" customFormat="false" ht="15" hidden="false" customHeight="true" outlineLevel="0" collapsed="false">
      <c r="A183" s="1" t="s">
        <v>126</v>
      </c>
      <c r="B183" s="1" t="s">
        <v>116</v>
      </c>
      <c r="C183" s="1" t="n">
        <v>-11.65</v>
      </c>
      <c r="D183" s="1" t="n">
        <v>299.1</v>
      </c>
      <c r="E183" s="1" t="n">
        <v>0.063</v>
      </c>
      <c r="F183" s="1" t="n">
        <v>362919</v>
      </c>
      <c r="G183" s="1" t="s">
        <v>180</v>
      </c>
      <c r="H183" s="1" t="n">
        <v>-39.53</v>
      </c>
      <c r="I183" s="1" t="n">
        <v>0.6006</v>
      </c>
      <c r="J183" s="6" t="n">
        <v>2.667</v>
      </c>
      <c r="K183" s="6" t="n">
        <v>3.208</v>
      </c>
    </row>
    <row r="184" customFormat="false" ht="15" hidden="false" customHeight="true" outlineLevel="0" collapsed="false">
      <c r="A184" s="1" t="s">
        <v>126</v>
      </c>
      <c r="B184" s="1" t="s">
        <v>43</v>
      </c>
      <c r="C184" s="1" t="n">
        <v>15.98</v>
      </c>
      <c r="D184" s="1" t="n">
        <v>295.6</v>
      </c>
      <c r="E184" s="1" t="n">
        <v>0.224</v>
      </c>
      <c r="F184" s="1" t="n">
        <v>363416</v>
      </c>
      <c r="G184" s="1" t="s">
        <v>173</v>
      </c>
      <c r="H184" s="1" t="n">
        <v>-39.27</v>
      </c>
      <c r="I184" s="1" t="n">
        <v>0.5259</v>
      </c>
      <c r="J184" s="6" t="n">
        <v>3.667</v>
      </c>
      <c r="K184" s="6" t="n">
        <v>3.208</v>
      </c>
    </row>
    <row r="185" customFormat="false" ht="15" hidden="false" customHeight="true" outlineLevel="0" collapsed="false">
      <c r="A185" s="1" t="s">
        <v>126</v>
      </c>
      <c r="B185" s="1" t="s">
        <v>87</v>
      </c>
      <c r="C185" s="1" t="n">
        <v>55.11</v>
      </c>
      <c r="D185" s="1" t="n">
        <v>284.3</v>
      </c>
      <c r="E185" s="1" t="n">
        <v>0.55</v>
      </c>
      <c r="F185" s="1" t="n">
        <v>371632</v>
      </c>
      <c r="G185" s="1" t="s">
        <v>210</v>
      </c>
      <c r="H185" s="1" t="n">
        <v>-38.88</v>
      </c>
      <c r="I185" s="1" t="n">
        <v>0.6034</v>
      </c>
      <c r="J185" s="6" t="n">
        <v>1.333</v>
      </c>
      <c r="K185" s="6" t="n">
        <v>1.917</v>
      </c>
    </row>
    <row r="186" customFormat="false" ht="15" hidden="false" customHeight="true" outlineLevel="0" collapsed="false">
      <c r="A186" s="1" t="s">
        <v>126</v>
      </c>
      <c r="B186" s="1" t="s">
        <v>117</v>
      </c>
      <c r="C186" s="1" t="n">
        <v>76.6</v>
      </c>
      <c r="D186" s="1" t="n">
        <v>247.3</v>
      </c>
      <c r="E186" s="1" t="n">
        <v>0.753</v>
      </c>
      <c r="F186" s="1" t="n">
        <v>379188</v>
      </c>
      <c r="G186" s="1" t="s">
        <v>229</v>
      </c>
      <c r="H186" s="1" t="n">
        <v>-38.61</v>
      </c>
      <c r="I186" s="1" t="n">
        <v>0.7816</v>
      </c>
      <c r="J186" s="6" t="n">
        <v>1</v>
      </c>
      <c r="K186" s="6" t="n">
        <v>2.417</v>
      </c>
    </row>
    <row r="187" customFormat="false" ht="15" hidden="false" customHeight="true" outlineLevel="0" collapsed="false">
      <c r="A187" s="1" t="s">
        <v>126</v>
      </c>
      <c r="B187" s="1" t="s">
        <v>46</v>
      </c>
      <c r="C187" s="1" t="n">
        <v>70.4</v>
      </c>
      <c r="D187" s="1" t="n">
        <v>153.4</v>
      </c>
      <c r="E187" s="1" t="n">
        <v>0.903</v>
      </c>
      <c r="F187" s="1" t="n">
        <v>386923</v>
      </c>
      <c r="G187" s="1" t="s">
        <v>174</v>
      </c>
      <c r="H187" s="1" t="n">
        <v>-38.34</v>
      </c>
      <c r="I187" s="1" t="n">
        <v>0.5891</v>
      </c>
      <c r="J187" s="6" t="n">
        <v>0.667</v>
      </c>
      <c r="K187" s="6" t="n">
        <v>0.458</v>
      </c>
    </row>
    <row r="188" customFormat="false" ht="15" hidden="false" customHeight="true" outlineLevel="0" collapsed="false">
      <c r="A188" s="1" t="s">
        <v>126</v>
      </c>
      <c r="B188" s="1" t="s">
        <v>90</v>
      </c>
      <c r="C188" s="1" t="n">
        <v>37.9</v>
      </c>
      <c r="D188" s="1" t="n">
        <v>129.3</v>
      </c>
      <c r="E188" s="1" t="n">
        <v>0.998</v>
      </c>
      <c r="F188" s="1" t="n">
        <v>397643</v>
      </c>
      <c r="G188" s="1" t="s">
        <v>213</v>
      </c>
      <c r="H188" s="1" t="n">
        <v>-37.93</v>
      </c>
      <c r="I188" s="1" t="n">
        <v>0.5316</v>
      </c>
      <c r="J188" s="6" t="n">
        <v>0.333</v>
      </c>
      <c r="K188" s="6" t="n">
        <v>2.375</v>
      </c>
    </row>
    <row r="189" customFormat="false" ht="15" hidden="false" customHeight="true" outlineLevel="0" collapsed="false">
      <c r="A189" s="1" t="s">
        <v>126</v>
      </c>
      <c r="B189" s="1" t="s">
        <v>118</v>
      </c>
      <c r="C189" s="1" t="n">
        <v>16.14</v>
      </c>
      <c r="D189" s="1" t="n">
        <v>123.2</v>
      </c>
      <c r="E189" s="1" t="n">
        <v>0.968</v>
      </c>
      <c r="F189" s="1" t="n">
        <v>403218</v>
      </c>
      <c r="G189" s="1" t="s">
        <v>230</v>
      </c>
      <c r="H189" s="1" t="n">
        <v>-37.65</v>
      </c>
      <c r="I189" s="1" t="n">
        <v>0.5862</v>
      </c>
      <c r="J189" s="6" t="n">
        <v>1.667</v>
      </c>
      <c r="K189" s="6" t="n">
        <v>1.792</v>
      </c>
    </row>
    <row r="190" customFormat="false" ht="15" hidden="false" customHeight="true" outlineLevel="0" collapsed="false">
      <c r="A190" s="1" t="s">
        <v>126</v>
      </c>
      <c r="B190" s="1" t="s">
        <v>49</v>
      </c>
      <c r="C190" s="1" t="n">
        <v>-4.83</v>
      </c>
      <c r="D190" s="1" t="n">
        <v>117.9</v>
      </c>
      <c r="E190" s="1" t="n">
        <v>0.871</v>
      </c>
      <c r="F190" s="1" t="n">
        <v>406203</v>
      </c>
      <c r="G190" s="1" t="s">
        <v>168</v>
      </c>
      <c r="H190" s="1" t="n">
        <v>-37.37</v>
      </c>
      <c r="I190" s="1" t="n">
        <v>0.4856</v>
      </c>
      <c r="J190" s="6" t="n">
        <v>0.667</v>
      </c>
      <c r="K190" s="6" t="n">
        <v>1.833</v>
      </c>
    </row>
    <row r="191" customFormat="false" ht="15" hidden="false" customHeight="true" outlineLevel="0" collapsed="false">
      <c r="A191" s="1" t="s">
        <v>126</v>
      </c>
      <c r="B191" s="1" t="s">
        <v>93</v>
      </c>
      <c r="C191" s="1" t="n">
        <v>-36.73</v>
      </c>
      <c r="D191" s="1" t="n">
        <v>107.1</v>
      </c>
      <c r="E191" s="1" t="n">
        <v>0.633</v>
      </c>
      <c r="F191" s="1" t="n">
        <v>403088</v>
      </c>
      <c r="G191" s="1" t="s">
        <v>188</v>
      </c>
      <c r="H191" s="1" t="n">
        <v>-36.94</v>
      </c>
      <c r="I191" s="1" t="n">
        <v>0.4885</v>
      </c>
      <c r="J191" s="6" t="n">
        <v>3.333</v>
      </c>
      <c r="K191" s="6" t="n">
        <v>2.583</v>
      </c>
    </row>
    <row r="192" customFormat="false" ht="15" hidden="false" customHeight="true" outlineLevel="0" collapsed="false">
      <c r="A192" s="1" t="s">
        <v>126</v>
      </c>
      <c r="B192" s="1" t="s">
        <v>119</v>
      </c>
      <c r="C192" s="1" t="n">
        <v>-57.1</v>
      </c>
      <c r="D192" s="1" t="n">
        <v>91.6</v>
      </c>
      <c r="E192" s="1" t="n">
        <v>0.436</v>
      </c>
      <c r="F192" s="1" t="n">
        <v>395208</v>
      </c>
      <c r="G192" s="1" t="s">
        <v>231</v>
      </c>
      <c r="H192" s="1" t="n">
        <v>-36.66</v>
      </c>
      <c r="I192" s="1" t="n">
        <v>0.6063</v>
      </c>
      <c r="J192" s="6" t="n">
        <v>1</v>
      </c>
      <c r="K192" s="6" t="n">
        <v>0.875</v>
      </c>
    </row>
    <row r="193" customFormat="false" ht="15" hidden="false" customHeight="true" outlineLevel="0" collapsed="false">
      <c r="A193" s="1" t="s">
        <v>126</v>
      </c>
      <c r="B193" s="1" t="s">
        <v>52</v>
      </c>
      <c r="C193" s="1" t="n">
        <v>-71.84</v>
      </c>
      <c r="D193" s="1" t="n">
        <v>44.1</v>
      </c>
      <c r="E193" s="1" t="n">
        <v>0.237</v>
      </c>
      <c r="F193" s="1" t="n">
        <v>383859</v>
      </c>
      <c r="G193" s="1" t="s">
        <v>170</v>
      </c>
      <c r="H193" s="1" t="n">
        <v>-36.38</v>
      </c>
      <c r="I193" s="1" t="n">
        <v>0.6063</v>
      </c>
      <c r="J193" s="6" t="n">
        <v>1</v>
      </c>
      <c r="K193" s="6" t="n">
        <v>0.708</v>
      </c>
    </row>
    <row r="194" customFormat="false" ht="15" hidden="false" customHeight="true" outlineLevel="0" collapsed="false">
      <c r="A194" s="1" t="s">
        <v>126</v>
      </c>
      <c r="B194" s="1" t="s">
        <v>96</v>
      </c>
      <c r="C194" s="1" t="n">
        <v>-50.91</v>
      </c>
      <c r="D194" s="1" t="n">
        <v>323.9</v>
      </c>
      <c r="E194" s="1" t="n">
        <v>0.026</v>
      </c>
      <c r="F194" s="1" t="n">
        <v>366822</v>
      </c>
      <c r="G194" s="1" t="s">
        <v>216</v>
      </c>
      <c r="H194" s="1" t="n">
        <v>-35.96</v>
      </c>
      <c r="I194" s="1" t="n">
        <v>0.3362</v>
      </c>
      <c r="J194" s="6" t="n">
        <v>5</v>
      </c>
      <c r="K194" s="6" t="n">
        <v>3.833</v>
      </c>
    </row>
    <row r="195" customFormat="false" ht="15" hidden="false" customHeight="true" outlineLevel="0" collapsed="false">
      <c r="A195" s="1" t="s">
        <v>126</v>
      </c>
      <c r="B195" s="1" t="s">
        <v>120</v>
      </c>
      <c r="C195" s="1" t="n">
        <v>-25.37</v>
      </c>
      <c r="D195" s="1" t="n">
        <v>308.5</v>
      </c>
      <c r="E195" s="1" t="n">
        <v>0.01</v>
      </c>
      <c r="F195" s="1" t="n">
        <v>360768</v>
      </c>
      <c r="G195" s="1" t="s">
        <v>232</v>
      </c>
      <c r="H195" s="1" t="n">
        <v>-35.69</v>
      </c>
      <c r="I195" s="1" t="n">
        <v>0.6437</v>
      </c>
      <c r="J195" s="6" t="n">
        <v>2.333</v>
      </c>
      <c r="K195" s="6" t="n">
        <v>1.917</v>
      </c>
    </row>
    <row r="196" customFormat="false" ht="15" hidden="false" customHeight="true" outlineLevel="0" collapsed="false">
      <c r="A196" s="1" t="s">
        <v>126</v>
      </c>
      <c r="B196" s="1" t="s">
        <v>55</v>
      </c>
      <c r="C196" s="1" t="n">
        <v>1.4</v>
      </c>
      <c r="D196" s="1" t="n">
        <v>297.9</v>
      </c>
      <c r="E196" s="1" t="n">
        <v>0.11</v>
      </c>
      <c r="F196" s="1" t="n">
        <v>361367</v>
      </c>
      <c r="G196" s="1" t="s">
        <v>181</v>
      </c>
      <c r="H196" s="1" t="n">
        <v>-35.41</v>
      </c>
      <c r="I196" s="1" t="n">
        <v>0.4052</v>
      </c>
      <c r="J196" s="6" t="n">
        <v>4</v>
      </c>
      <c r="K196" s="6" t="n">
        <v>3</v>
      </c>
    </row>
    <row r="197" customFormat="false" ht="15" hidden="false" customHeight="true" outlineLevel="0" collapsed="false">
      <c r="A197" s="1" t="s">
        <v>126</v>
      </c>
      <c r="B197" s="1" t="s">
        <v>99</v>
      </c>
      <c r="C197" s="1" t="n">
        <v>37.8</v>
      </c>
      <c r="D197" s="1" t="n">
        <v>279.1</v>
      </c>
      <c r="E197" s="1" t="n">
        <v>0.402</v>
      </c>
      <c r="F197" s="1" t="n">
        <v>371952</v>
      </c>
      <c r="G197" s="1" t="s">
        <v>179</v>
      </c>
      <c r="H197" s="1" t="n">
        <v>-35.02</v>
      </c>
      <c r="I197" s="1" t="n">
        <v>0.523</v>
      </c>
      <c r="J197" s="6" t="n">
        <v>0.333</v>
      </c>
      <c r="K197" s="6" t="n">
        <v>1.125</v>
      </c>
    </row>
    <row r="198" customFormat="false" ht="15" hidden="false" customHeight="true" outlineLevel="0" collapsed="false">
      <c r="A198" s="1" t="s">
        <v>126</v>
      </c>
      <c r="B198" s="1" t="s">
        <v>121</v>
      </c>
      <c r="C198" s="1" t="n">
        <v>57.26</v>
      </c>
      <c r="D198" s="1" t="n">
        <v>254.7</v>
      </c>
      <c r="E198" s="1" t="n">
        <v>0.615</v>
      </c>
      <c r="F198" s="1" t="n">
        <v>381321</v>
      </c>
      <c r="G198" s="1" t="s">
        <v>233</v>
      </c>
      <c r="H198" s="1" t="n">
        <v>-34.76</v>
      </c>
      <c r="I198" s="1" t="n">
        <v>0.5</v>
      </c>
      <c r="J198" s="6" t="n">
        <v>1.667</v>
      </c>
      <c r="K198" s="6" t="n">
        <v>1.208</v>
      </c>
    </row>
    <row r="199" customFormat="false" ht="15" hidden="false" customHeight="true" outlineLevel="0" collapsed="false">
      <c r="A199" s="1" t="s">
        <v>126</v>
      </c>
      <c r="B199" s="1" t="s">
        <v>58</v>
      </c>
      <c r="C199" s="1" t="n">
        <v>65.25</v>
      </c>
      <c r="D199" s="1" t="n">
        <v>206.3</v>
      </c>
      <c r="E199" s="1" t="n">
        <v>0.797</v>
      </c>
      <c r="F199" s="1" t="n">
        <v>389871</v>
      </c>
      <c r="G199" s="1" t="s">
        <v>184</v>
      </c>
      <c r="H199" s="1" t="n">
        <v>-34.51</v>
      </c>
      <c r="I199" s="1" t="n">
        <v>0.408</v>
      </c>
      <c r="J199" s="6" t="n">
        <v>0.667</v>
      </c>
      <c r="K199" s="6" t="n">
        <v>1.542</v>
      </c>
    </row>
    <row r="200" customFormat="false" ht="15" hidden="false" customHeight="true" outlineLevel="0" collapsed="false">
      <c r="A200" s="1" t="s">
        <v>126</v>
      </c>
      <c r="B200" s="1" t="s">
        <v>102</v>
      </c>
      <c r="C200" s="1" t="n">
        <v>47.48</v>
      </c>
      <c r="D200" s="1" t="n">
        <v>149.9</v>
      </c>
      <c r="E200" s="1" t="n">
        <v>0.968</v>
      </c>
      <c r="F200" s="1" t="n">
        <v>399300</v>
      </c>
      <c r="G200" s="1" t="s">
        <v>221</v>
      </c>
      <c r="H200" s="1" t="n">
        <v>-34.16</v>
      </c>
      <c r="I200" s="1" t="n">
        <v>0.4971</v>
      </c>
      <c r="J200" s="6" t="n">
        <v>3</v>
      </c>
      <c r="K200" s="6" t="n">
        <v>2.792</v>
      </c>
    </row>
    <row r="201" customFormat="false" ht="15" hidden="false" customHeight="true" outlineLevel="0" collapsed="false">
      <c r="A201" s="1" t="s">
        <v>126</v>
      </c>
      <c r="B201" s="1" t="s">
        <v>122</v>
      </c>
      <c r="C201" s="1" t="n">
        <v>29.06</v>
      </c>
      <c r="D201" s="1" t="n">
        <v>133.8</v>
      </c>
      <c r="E201" s="1" t="n">
        <v>0.998</v>
      </c>
      <c r="F201" s="1" t="n">
        <v>403084</v>
      </c>
      <c r="G201" s="1" t="s">
        <v>188</v>
      </c>
      <c r="H201" s="1" t="n">
        <v>-33.93</v>
      </c>
      <c r="I201" s="1" t="n">
        <v>0.5575</v>
      </c>
      <c r="J201" s="6" t="n">
        <v>2.667</v>
      </c>
      <c r="K201" s="6" t="n">
        <v>2.208</v>
      </c>
    </row>
    <row r="202" customFormat="false" ht="15" hidden="false" customHeight="true" outlineLevel="0" collapsed="false">
      <c r="A202" s="1" t="s">
        <v>126</v>
      </c>
      <c r="B202" s="1" t="s">
        <v>61</v>
      </c>
      <c r="C202" s="1" t="n">
        <v>9.86</v>
      </c>
      <c r="D202" s="1" t="n">
        <v>122.3</v>
      </c>
      <c r="E202" s="1" t="n">
        <v>0.956</v>
      </c>
      <c r="F202" s="1" t="n">
        <v>404580</v>
      </c>
      <c r="G202" s="1" t="s">
        <v>187</v>
      </c>
      <c r="H202" s="1" t="n">
        <v>-33.71</v>
      </c>
      <c r="I202" s="1" t="n">
        <v>0.4368</v>
      </c>
      <c r="J202" s="6" t="n">
        <v>1.333</v>
      </c>
      <c r="K202" s="6" t="n">
        <v>1.583</v>
      </c>
    </row>
    <row r="203" customFormat="false" ht="15" hidden="false" customHeight="true" outlineLevel="0" collapsed="false">
      <c r="A203" s="1" t="s">
        <v>126</v>
      </c>
      <c r="B203" s="1" t="s">
        <v>105</v>
      </c>
      <c r="C203" s="1" t="n">
        <v>-19.16</v>
      </c>
      <c r="D203" s="1" t="n">
        <v>105.6</v>
      </c>
      <c r="E203" s="1" t="n">
        <v>0.775</v>
      </c>
      <c r="F203" s="1" t="n">
        <v>401137</v>
      </c>
      <c r="G203" s="1" t="s">
        <v>160</v>
      </c>
      <c r="H203" s="1" t="n">
        <v>-33.41</v>
      </c>
      <c r="I203" s="1" t="n">
        <v>0.4109</v>
      </c>
      <c r="J203" s="6" t="n">
        <v>5.333</v>
      </c>
      <c r="K203" s="6" t="n">
        <v>3.75</v>
      </c>
    </row>
    <row r="204" customFormat="false" ht="15" hidden="false" customHeight="true" outlineLevel="0" collapsed="false">
      <c r="A204" s="1" t="s">
        <v>126</v>
      </c>
      <c r="B204" s="1" t="s">
        <v>123</v>
      </c>
      <c r="C204" s="1" t="n">
        <v>-37.76</v>
      </c>
      <c r="D204" s="1" t="n">
        <v>90.2</v>
      </c>
      <c r="E204" s="1" t="n">
        <v>0.593</v>
      </c>
      <c r="F204" s="1" t="n">
        <v>394264</v>
      </c>
      <c r="G204" s="1" t="s">
        <v>175</v>
      </c>
      <c r="H204" s="1" t="n">
        <v>-33.22</v>
      </c>
      <c r="I204" s="1" t="n">
        <v>0.5057</v>
      </c>
      <c r="J204" s="6" t="n">
        <v>1.333</v>
      </c>
      <c r="K204" s="6" t="n">
        <v>1.75</v>
      </c>
    </row>
    <row r="205" customFormat="false" ht="15" hidden="false" customHeight="true" outlineLevel="0" collapsed="false">
      <c r="A205" s="1" t="s">
        <v>126</v>
      </c>
      <c r="B205" s="1" t="s">
        <v>64</v>
      </c>
      <c r="C205" s="1" t="n">
        <v>-53.6</v>
      </c>
      <c r="D205" s="1" t="n">
        <v>63.6</v>
      </c>
      <c r="E205" s="1" t="n">
        <v>0.383</v>
      </c>
      <c r="F205" s="1" t="n">
        <v>384177</v>
      </c>
      <c r="G205" s="1" t="s">
        <v>190</v>
      </c>
      <c r="H205" s="1" t="n">
        <v>-33.04</v>
      </c>
      <c r="I205" s="1" t="n">
        <v>0.6121</v>
      </c>
      <c r="J205" s="6" t="n">
        <v>2.667</v>
      </c>
      <c r="K205" s="6" t="n">
        <v>2.542</v>
      </c>
    </row>
    <row r="206" customFormat="false" ht="15" hidden="false" customHeight="true" outlineLevel="0" collapsed="false">
      <c r="A206" s="1" t="s">
        <v>126</v>
      </c>
      <c r="B206" s="1" t="s">
        <v>108</v>
      </c>
      <c r="C206" s="1" t="n">
        <v>-54.88</v>
      </c>
      <c r="D206" s="1" t="n">
        <v>353.5</v>
      </c>
      <c r="E206" s="1" t="n">
        <v>0.101</v>
      </c>
      <c r="F206" s="1" t="n">
        <v>367847</v>
      </c>
      <c r="G206" s="1" t="s">
        <v>225</v>
      </c>
      <c r="H206" s="1" t="n">
        <v>-32.8</v>
      </c>
      <c r="I206" s="1" t="n">
        <v>0.4828</v>
      </c>
      <c r="J206" s="6"/>
      <c r="K206" s="6"/>
    </row>
    <row r="207" customFormat="false" ht="15" hidden="false" customHeight="true" outlineLevel="0" collapsed="false">
      <c r="A207" s="1" t="s">
        <v>126</v>
      </c>
      <c r="B207" s="1" t="s">
        <v>124</v>
      </c>
      <c r="C207" s="1" t="n">
        <v>-37.11</v>
      </c>
      <c r="D207" s="1" t="n">
        <v>321.5</v>
      </c>
      <c r="E207" s="1" t="n">
        <v>0.007</v>
      </c>
      <c r="F207" s="1" t="n">
        <v>361196</v>
      </c>
      <c r="G207" s="1" t="s">
        <v>234</v>
      </c>
      <c r="H207" s="1" t="n">
        <v>-32.66</v>
      </c>
      <c r="I207" s="1" t="n">
        <v>0.5029</v>
      </c>
      <c r="J207" s="6"/>
      <c r="K207" s="6"/>
    </row>
    <row r="208" customFormat="false" ht="15" hidden="false" customHeight="true" outlineLevel="0" collapsed="false">
      <c r="A208" s="1" t="s">
        <v>126</v>
      </c>
      <c r="B208" s="1" t="s">
        <v>67</v>
      </c>
      <c r="C208" s="1" t="n">
        <v>-14.5</v>
      </c>
      <c r="D208" s="1" t="n">
        <v>302.1</v>
      </c>
      <c r="E208" s="1" t="n">
        <v>0.032</v>
      </c>
      <c r="F208" s="1" t="n">
        <v>361115</v>
      </c>
      <c r="G208" s="1" t="s">
        <v>193</v>
      </c>
      <c r="H208" s="1" t="n">
        <v>-32.53</v>
      </c>
      <c r="I208" s="1" t="n">
        <v>0.5546</v>
      </c>
      <c r="J208" s="6"/>
      <c r="K208" s="6"/>
    </row>
    <row r="209" customFormat="false" ht="15" hidden="false" customHeight="false" outlineLevel="0" collapsed="false">
      <c r="A209" s="1" t="s">
        <v>68</v>
      </c>
      <c r="B209" s="1" t="s">
        <v>127</v>
      </c>
      <c r="C209" s="1" t="n">
        <v>-1.79</v>
      </c>
      <c r="D209" s="1" t="n">
        <v>294</v>
      </c>
      <c r="E209" s="1" t="n">
        <v>0.087</v>
      </c>
      <c r="F209" s="1" t="n">
        <v>363588</v>
      </c>
      <c r="G209" s="1" t="s">
        <v>235</v>
      </c>
      <c r="H209" s="1" t="n">
        <v>-32.47</v>
      </c>
      <c r="I209" s="1" t="n">
        <v>0.5148</v>
      </c>
      <c r="J209" s="9"/>
      <c r="K209" s="9"/>
    </row>
    <row r="210" customFormat="false" ht="15" hidden="false" customHeight="true" outlineLevel="0" collapsed="false">
      <c r="A210" s="1" t="s">
        <v>125</v>
      </c>
      <c r="B210" s="1" t="s">
        <v>127</v>
      </c>
      <c r="C210" s="1" t="n">
        <v>-1.79</v>
      </c>
      <c r="D210" s="1" t="n">
        <v>294</v>
      </c>
      <c r="E210" s="1" t="n">
        <v>0.087</v>
      </c>
      <c r="F210" s="1" t="n">
        <v>363588</v>
      </c>
      <c r="G210" s="1" t="s">
        <v>235</v>
      </c>
      <c r="H210" s="1" t="n">
        <v>-32.47</v>
      </c>
      <c r="I210" s="1" t="n">
        <v>0.6606</v>
      </c>
      <c r="J210" s="9"/>
      <c r="K210" s="9"/>
    </row>
    <row r="211" customFormat="false" ht="15" hidden="false" customHeight="true" outlineLevel="0" collapsed="false">
      <c r="A211" s="1" t="s">
        <v>26</v>
      </c>
      <c r="B211" s="1" t="s">
        <v>128</v>
      </c>
      <c r="C211" s="1" t="n">
        <v>8.29</v>
      </c>
      <c r="D211" s="1" t="n">
        <v>286.1</v>
      </c>
      <c r="E211" s="1" t="n">
        <v>0.164</v>
      </c>
      <c r="F211" s="1" t="n">
        <v>367383</v>
      </c>
      <c r="G211" s="1" t="s">
        <v>236</v>
      </c>
      <c r="H211" s="1" t="n">
        <v>-32.42</v>
      </c>
      <c r="I211" s="1" t="n">
        <v>0.6111</v>
      </c>
      <c r="J211" s="9"/>
      <c r="K211" s="9"/>
    </row>
    <row r="212" customFormat="false" ht="15" hidden="false" customHeight="true" outlineLevel="0" collapsed="false">
      <c r="A212" s="1" t="s">
        <v>110</v>
      </c>
      <c r="B212" s="1" t="s">
        <v>128</v>
      </c>
      <c r="C212" s="1" t="n">
        <v>8.29</v>
      </c>
      <c r="D212" s="1" t="n">
        <v>286.1</v>
      </c>
      <c r="E212" s="1" t="n">
        <v>0.164</v>
      </c>
      <c r="F212" s="1" t="n">
        <v>367383</v>
      </c>
      <c r="G212" s="1" t="s">
        <v>236</v>
      </c>
      <c r="H212" s="1" t="n">
        <v>-32.42</v>
      </c>
      <c r="I212" s="1" t="n">
        <v>0.3946</v>
      </c>
      <c r="J212" s="9"/>
      <c r="K212" s="9"/>
    </row>
    <row r="213" customFormat="false" ht="15" hidden="false" customHeight="true" outlineLevel="0" collapsed="false">
      <c r="A213" s="1" t="s">
        <v>126</v>
      </c>
      <c r="B213" s="1" t="s">
        <v>129</v>
      </c>
      <c r="C213" s="1" t="n">
        <v>18.81</v>
      </c>
      <c r="D213" s="1" t="n">
        <v>277.8</v>
      </c>
      <c r="E213" s="1" t="n">
        <v>0.257</v>
      </c>
      <c r="F213" s="1" t="n">
        <v>372083</v>
      </c>
      <c r="G213" s="1" t="s">
        <v>237</v>
      </c>
      <c r="H213" s="1" t="n">
        <v>-32.37</v>
      </c>
      <c r="I213" s="1" t="n">
        <v>0.5172</v>
      </c>
      <c r="J213" s="9"/>
      <c r="K213" s="9"/>
    </row>
    <row r="214" customFormat="false" ht="15" hidden="false" customHeight="true" outlineLevel="0" collapsed="false">
      <c r="A214" s="1" t="s">
        <v>68</v>
      </c>
      <c r="B214" s="1" t="s">
        <v>129</v>
      </c>
      <c r="C214" s="1" t="n">
        <v>18.81</v>
      </c>
      <c r="D214" s="1" t="n">
        <v>277.8</v>
      </c>
      <c r="E214" s="1" t="n">
        <v>0.257</v>
      </c>
      <c r="F214" s="1" t="n">
        <v>372083</v>
      </c>
      <c r="G214" s="1" t="s">
        <v>237</v>
      </c>
      <c r="H214" s="1" t="n">
        <v>-32.37</v>
      </c>
      <c r="I214" s="1" t="n">
        <v>0.3111</v>
      </c>
      <c r="J214" s="9"/>
      <c r="K214" s="9"/>
    </row>
    <row r="215" customFormat="false" ht="15" hidden="false" customHeight="true" outlineLevel="0" collapsed="false">
      <c r="A215" s="1" t="s">
        <v>26</v>
      </c>
      <c r="B215" s="1" t="s">
        <v>130</v>
      </c>
      <c r="C215" s="1" t="n">
        <v>28.54</v>
      </c>
      <c r="D215" s="1" t="n">
        <v>268.7</v>
      </c>
      <c r="E215" s="1" t="n">
        <v>0.358</v>
      </c>
      <c r="F215" s="1" t="n">
        <v>377234</v>
      </c>
      <c r="G215" s="1" t="s">
        <v>238</v>
      </c>
      <c r="H215" s="1" t="n">
        <v>-32.32</v>
      </c>
      <c r="I215" s="1" t="n">
        <v>0.5595</v>
      </c>
      <c r="J215" s="9"/>
      <c r="K215" s="9"/>
    </row>
    <row r="216" customFormat="false" ht="15" hidden="false" customHeight="true" outlineLevel="0" collapsed="false">
      <c r="A216" s="1" t="s">
        <v>125</v>
      </c>
      <c r="B216" s="1" t="s">
        <v>130</v>
      </c>
      <c r="C216" s="1" t="n">
        <v>28.54</v>
      </c>
      <c r="D216" s="1" t="n">
        <v>268.7</v>
      </c>
      <c r="E216" s="1" t="n">
        <v>0.358</v>
      </c>
      <c r="F216" s="1" t="n">
        <v>377234</v>
      </c>
      <c r="G216" s="1" t="s">
        <v>238</v>
      </c>
      <c r="H216" s="1" t="n">
        <v>-32.32</v>
      </c>
      <c r="I216" s="1" t="n">
        <v>0.5152</v>
      </c>
      <c r="J216" s="9"/>
      <c r="K216" s="9"/>
    </row>
    <row r="217" customFormat="false" ht="15" hidden="false" customHeight="false" outlineLevel="0" collapsed="false">
      <c r="A217" s="1" t="s">
        <v>110</v>
      </c>
      <c r="B217" s="1" t="s">
        <v>131</v>
      </c>
      <c r="C217" s="1" t="n">
        <v>37.21</v>
      </c>
      <c r="D217" s="1" t="n">
        <v>258</v>
      </c>
      <c r="E217" s="1" t="n">
        <v>0.463</v>
      </c>
      <c r="F217" s="1" t="n">
        <v>382418</v>
      </c>
      <c r="G217" s="1" t="s">
        <v>239</v>
      </c>
      <c r="H217" s="1" t="n">
        <v>-32.28</v>
      </c>
      <c r="I217" s="1" t="n">
        <v>0.6224</v>
      </c>
      <c r="J217" s="9"/>
      <c r="K217" s="9"/>
    </row>
    <row r="218" customFormat="false" ht="15" hidden="false" customHeight="true" outlineLevel="0" collapsed="false">
      <c r="A218" s="1" t="s">
        <v>126</v>
      </c>
      <c r="B218" s="1" t="s">
        <v>131</v>
      </c>
      <c r="C218" s="1" t="n">
        <v>37.21</v>
      </c>
      <c r="D218" s="1" t="n">
        <v>258</v>
      </c>
      <c r="E218" s="1" t="n">
        <v>0.463</v>
      </c>
      <c r="F218" s="1" t="n">
        <v>382418</v>
      </c>
      <c r="G218" s="1" t="s">
        <v>239</v>
      </c>
      <c r="H218" s="1" t="n">
        <v>-32.28</v>
      </c>
      <c r="I218" s="1" t="n">
        <v>0.3793</v>
      </c>
      <c r="J218" s="9"/>
      <c r="K218" s="9"/>
    </row>
    <row r="219" customFormat="false" ht="15" hidden="false" customHeight="false" outlineLevel="0" collapsed="false">
      <c r="A219" s="1" t="s">
        <v>68</v>
      </c>
      <c r="B219" s="1" t="s">
        <v>132</v>
      </c>
      <c r="C219" s="1" t="n">
        <v>44.46</v>
      </c>
      <c r="D219" s="1" t="n">
        <v>245.3</v>
      </c>
      <c r="E219" s="1" t="n">
        <v>0.565</v>
      </c>
      <c r="F219" s="1" t="n">
        <v>387289</v>
      </c>
      <c r="G219" s="1" t="s">
        <v>240</v>
      </c>
      <c r="H219" s="1" t="n">
        <v>-32.25</v>
      </c>
      <c r="I219" s="1" t="n">
        <v>0.4444</v>
      </c>
      <c r="J219" s="9"/>
      <c r="K219" s="9"/>
    </row>
    <row r="220" customFormat="false" ht="15" hidden="false" customHeight="false" outlineLevel="0" collapsed="false">
      <c r="A220" s="1" t="s">
        <v>125</v>
      </c>
      <c r="B220" s="1" t="s">
        <v>132</v>
      </c>
      <c r="C220" s="1" t="n">
        <v>44.46</v>
      </c>
      <c r="D220" s="1" t="n">
        <v>245.3</v>
      </c>
      <c r="E220" s="1" t="n">
        <v>0.565</v>
      </c>
      <c r="F220" s="1" t="n">
        <v>387289</v>
      </c>
      <c r="G220" s="1" t="s">
        <v>240</v>
      </c>
      <c r="H220" s="1" t="n">
        <v>-32.25</v>
      </c>
      <c r="I220" s="1" t="n">
        <v>0.6</v>
      </c>
      <c r="J220" s="9"/>
      <c r="K220" s="9"/>
    </row>
    <row r="221" customFormat="false" ht="15" hidden="false" customHeight="false" outlineLevel="0" collapsed="false">
      <c r="A221" s="1" t="s">
        <v>26</v>
      </c>
      <c r="B221" s="1" t="s">
        <v>133</v>
      </c>
      <c r="C221" s="1" t="n">
        <v>49.82</v>
      </c>
      <c r="D221" s="1" t="n">
        <v>229.9</v>
      </c>
      <c r="E221" s="1" t="n">
        <v>0.662</v>
      </c>
      <c r="F221" s="1" t="n">
        <v>391601</v>
      </c>
      <c r="G221" s="1" t="s">
        <v>241</v>
      </c>
      <c r="H221" s="1" t="n">
        <v>-32.21</v>
      </c>
      <c r="I221" s="1" t="n">
        <v>0.4167</v>
      </c>
      <c r="J221" s="9"/>
      <c r="K221" s="9"/>
    </row>
    <row r="222" customFormat="false" ht="15" hidden="false" customHeight="false" outlineLevel="0" collapsed="false">
      <c r="A222" s="1" t="s">
        <v>110</v>
      </c>
      <c r="B222" s="1" t="s">
        <v>133</v>
      </c>
      <c r="C222" s="1" t="n">
        <v>49.82</v>
      </c>
      <c r="D222" s="1" t="n">
        <v>229.9</v>
      </c>
      <c r="E222" s="1" t="n">
        <v>0.662</v>
      </c>
      <c r="F222" s="1" t="n">
        <v>391601</v>
      </c>
      <c r="G222" s="1" t="s">
        <v>241</v>
      </c>
      <c r="H222" s="1" t="n">
        <v>-32.21</v>
      </c>
      <c r="I222" s="1" t="n">
        <v>0.5612</v>
      </c>
      <c r="J222" s="9"/>
      <c r="K222" s="9"/>
    </row>
    <row r="223" customFormat="false" ht="15" hidden="false" customHeight="false" outlineLevel="0" collapsed="false">
      <c r="A223" s="1" t="s">
        <v>126</v>
      </c>
      <c r="B223" s="1" t="s">
        <v>133</v>
      </c>
      <c r="C223" s="1" t="n">
        <v>49.82</v>
      </c>
      <c r="D223" s="1" t="n">
        <v>229.9</v>
      </c>
      <c r="E223" s="1" t="n">
        <v>0.662</v>
      </c>
      <c r="F223" s="1" t="n">
        <v>391601</v>
      </c>
      <c r="G223" s="1" t="s">
        <v>241</v>
      </c>
      <c r="H223" s="1" t="n">
        <v>-32.21</v>
      </c>
      <c r="I223" s="1" t="n">
        <v>0.5661</v>
      </c>
      <c r="J223" s="9"/>
      <c r="K223" s="9"/>
    </row>
    <row r="224" customFormat="false" ht="15" hidden="false" customHeight="false" outlineLevel="0" collapsed="false">
      <c r="A224" s="1" t="s">
        <v>68</v>
      </c>
      <c r="B224" s="1" t="s">
        <v>134</v>
      </c>
      <c r="C224" s="1" t="n">
        <v>52.75</v>
      </c>
      <c r="D224" s="1" t="n">
        <v>212.1</v>
      </c>
      <c r="E224" s="1" t="n">
        <v>0.751</v>
      </c>
      <c r="F224" s="1" t="n">
        <v>395205</v>
      </c>
      <c r="G224" s="1" t="s">
        <v>231</v>
      </c>
      <c r="H224" s="1" t="n">
        <v>-32.18</v>
      </c>
      <c r="I224" s="1" t="n">
        <v>0.6296</v>
      </c>
      <c r="J224" s="9"/>
      <c r="K224" s="9"/>
    </row>
    <row r="225" customFormat="false" ht="15" hidden="false" customHeight="false" outlineLevel="0" collapsed="false">
      <c r="A225" s="1" t="s">
        <v>125</v>
      </c>
      <c r="B225" s="1" t="s">
        <v>134</v>
      </c>
      <c r="C225" s="1" t="n">
        <v>52.75</v>
      </c>
      <c r="D225" s="1" t="n">
        <v>212.1</v>
      </c>
      <c r="E225" s="1" t="n">
        <v>0.751</v>
      </c>
      <c r="F225" s="1" t="n">
        <v>395205</v>
      </c>
      <c r="G225" s="1" t="s">
        <v>231</v>
      </c>
      <c r="H225" s="1" t="n">
        <v>-32.18</v>
      </c>
      <c r="I225" s="1" t="n">
        <v>0.5939</v>
      </c>
      <c r="J225" s="9"/>
      <c r="K225" s="9"/>
    </row>
    <row r="227" customFormat="false" ht="15" hidden="false" customHeight="false" outlineLevel="0" collapsed="false">
      <c r="A227" s="1" t="s">
        <v>242</v>
      </c>
    </row>
    <row r="228" customFormat="false" ht="15" hidden="false" customHeight="false" outlineLevel="0" collapsed="false">
      <c r="A228" s="1" t="s">
        <v>243</v>
      </c>
      <c r="B228" s="1" t="n">
        <f aca="false">CORREL(C2:C225,I2:I225)</f>
        <v>-0.0613883109349163</v>
      </c>
      <c r="C228" s="1" t="n">
        <f aca="false">TDIST(ABS(B228)*SQRT((224-2)/(1-B228^2)),224-2,2)</f>
        <v>0.36045489297647</v>
      </c>
      <c r="D228" s="1" t="str">
        <f aca="false">IF(C228&lt;0.05,"significant","no relationship")</f>
        <v>no relationship</v>
      </c>
    </row>
    <row r="229" customFormat="false" ht="15" hidden="false" customHeight="false" outlineLevel="0" collapsed="false">
      <c r="A229" s="1" t="s">
        <v>244</v>
      </c>
      <c r="B229" s="1" t="n">
        <f aca="false">CORREL(E2:E225,I2:I225)</f>
        <v>-0.0338491043071483</v>
      </c>
      <c r="C229" s="1" t="n">
        <f aca="false">TDIST(ABS(B229)*SQRT((224-2)/(1-B229^2)),224-2,2)</f>
        <v>0.614319625853241</v>
      </c>
      <c r="D229" s="1" t="str">
        <f aca="false">IF(C229&lt;0.05,"significant","no relationship")</f>
        <v>no relationship</v>
      </c>
    </row>
    <row r="230" customFormat="false" ht="15" hidden="false" customHeight="false" outlineLevel="0" collapsed="false">
      <c r="A230" s="1" t="s">
        <v>245</v>
      </c>
      <c r="B230" s="1" t="n">
        <f aca="false">CORREL(F2:F225,I2:I225)</f>
        <v>0.0197620629898636</v>
      </c>
      <c r="C230" s="1" t="n">
        <f aca="false">TDIST(ABS(B230)*SQRT((224-2)/(1-B230^2)),224-2,2)</f>
        <v>0.768646768370188</v>
      </c>
      <c r="D230" s="1" t="str">
        <f aca="false">IF(C230&lt;0.05,"significant","no relationship")</f>
        <v>no relationship</v>
      </c>
    </row>
    <row r="231" customFormat="false" ht="15" hidden="false" customHeight="false" outlineLevel="0" collapsed="false">
      <c r="A231" s="1" t="s">
        <v>246</v>
      </c>
      <c r="B231" s="1" t="n">
        <f aca="false">CORREL(H2:H225,I2:I225)</f>
        <v>-0.0081614823440696</v>
      </c>
      <c r="C231" s="1" t="n">
        <f aca="false">TDIST(ABS(B231)*SQRT((224-2)/(1-B231^2)),224-2,2)</f>
        <v>0.903319956534776</v>
      </c>
      <c r="D231" s="1" t="str">
        <f aca="false">IF(C231&lt;0.05,"significant","no relationship")</f>
        <v>no relationship</v>
      </c>
    </row>
    <row r="232" customFormat="false" ht="15" hidden="false" customHeight="false" outlineLevel="0" collapsed="false">
      <c r="A232" s="1" t="s">
        <v>247</v>
      </c>
      <c r="B232" s="1" t="n">
        <f aca="false">CORREL(J2:J225,I2:I225)</f>
        <v>-0.0258133790701696</v>
      </c>
      <c r="C232" s="1" t="n">
        <f aca="false">TDIST(ABS(B232)*SQRT((194-2)/(1-B232^2)),194-2,2)</f>
        <v>0.720886092745517</v>
      </c>
      <c r="D232" s="1" t="str">
        <f aca="false">IF(C232&lt;0.05,"significant","no relationship")</f>
        <v>no relationship</v>
      </c>
    </row>
    <row r="233" customFormat="false" ht="15" hidden="false" customHeight="false" outlineLevel="0" collapsed="false">
      <c r="A233" s="1" t="s">
        <v>248</v>
      </c>
      <c r="B233" s="1" t="n">
        <f aca="false">CORREL(K2:K225,I2:I225)</f>
        <v>-0.0226155647630759</v>
      </c>
      <c r="C233" s="1" t="n">
        <f aca="false">TDIST(ABS(B233)*SQRT((194-2)/(1-B233^2)),194-2,2)</f>
        <v>0.754278583194285</v>
      </c>
      <c r="D233" s="1" t="str">
        <f aca="false">IF(C233&lt;0.05,"significant","no relationship")</f>
        <v>no relationship</v>
      </c>
    </row>
    <row r="235" customFormat="false" ht="15" hidden="false" customHeight="false" outlineLevel="0" collapsed="false">
      <c r="A235" s="1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7"/>
  </cols>
  <sheetData>
    <row r="1" customFormat="false" ht="15" hidden="false" customHeight="true" outlineLevel="0" collapsed="false">
      <c r="A1" s="7" t="s">
        <v>250</v>
      </c>
    </row>
    <row r="3" customFormat="false" ht="15" hidden="false" customHeight="true" outlineLevel="0" collapsed="false">
      <c r="A3" s="7" t="s">
        <v>18</v>
      </c>
      <c r="B3" s="5" t="s">
        <v>26</v>
      </c>
      <c r="C3" s="5" t="s">
        <v>68</v>
      </c>
      <c r="D3" s="5" t="s">
        <v>110</v>
      </c>
      <c r="E3" s="5" t="s">
        <v>125</v>
      </c>
      <c r="F3" s="5" t="s">
        <v>126</v>
      </c>
    </row>
    <row r="4" customFormat="false" ht="15" hidden="false" customHeight="true" outlineLevel="0" collapsed="false">
      <c r="A4" s="6" t="s">
        <v>251</v>
      </c>
      <c r="B4" s="6" t="n">
        <v>42</v>
      </c>
      <c r="C4" s="6" t="n">
        <v>45</v>
      </c>
      <c r="D4" s="6" t="n">
        <v>49</v>
      </c>
      <c r="E4" s="6" t="n">
        <v>55</v>
      </c>
      <c r="F4" s="6" t="n">
        <v>58</v>
      </c>
    </row>
    <row r="5" customFormat="false" ht="15" hidden="false" customHeight="true" outlineLevel="0" collapsed="false">
      <c r="A5" s="6" t="s">
        <v>252</v>
      </c>
      <c r="B5" s="10" t="n">
        <f aca="false">COMBIN(B4,6)</f>
        <v>5245786</v>
      </c>
      <c r="C5" s="10" t="n">
        <f aca="false">COMBIN(C4,6)</f>
        <v>8145060</v>
      </c>
      <c r="D5" s="10" t="n">
        <f aca="false">COMBIN(D4,6)</f>
        <v>13983816</v>
      </c>
      <c r="E5" s="10" t="n">
        <f aca="false">COMBIN(E4,6)</f>
        <v>28989675</v>
      </c>
      <c r="F5" s="10" t="n">
        <f aca="false">COMBIN(F4,6)</f>
        <v>40475358</v>
      </c>
    </row>
    <row r="6" customFormat="false" ht="15" hidden="false" customHeight="true" outlineLevel="0" collapsed="false">
      <c r="A6" s="6" t="s">
        <v>253</v>
      </c>
      <c r="B6" s="11" t="n">
        <f aca="false">1/B5</f>
        <v>1.90629202182476E-007</v>
      </c>
      <c r="C6" s="11" t="n">
        <f aca="false">1/C5</f>
        <v>1.22773803998988E-007</v>
      </c>
      <c r="D6" s="11" t="n">
        <f aca="false">1/D5</f>
        <v>7.15112384201852E-008</v>
      </c>
      <c r="E6" s="11" t="n">
        <f aca="false">1/E5</f>
        <v>3.44950400444296E-008</v>
      </c>
      <c r="F6" s="11" t="n">
        <f aca="false">1/F5</f>
        <v>2.47063904907277E-008</v>
      </c>
    </row>
    <row r="7" customFormat="false" ht="15" hidden="false" customHeight="true" outlineLevel="0" collapsed="false">
      <c r="A7" s="6" t="s">
        <v>254</v>
      </c>
      <c r="B7" s="12" t="n">
        <f aca="false">6*(B4-6)/B5</f>
        <v>4.11759076714147E-005</v>
      </c>
      <c r="C7" s="12" t="n">
        <f aca="false">6*(C4-6)/C5</f>
        <v>2.87290701357633E-005</v>
      </c>
      <c r="D7" s="12" t="n">
        <f aca="false">6*(D4-6)/D5</f>
        <v>1.84498995124078E-005</v>
      </c>
      <c r="E7" s="12" t="n">
        <f aca="false">6*(E4-6)/E5</f>
        <v>1.01415417730623E-005</v>
      </c>
      <c r="F7" s="12" t="n">
        <f aca="false">6*(F4-6)/F5</f>
        <v>7.70839383310705E-006</v>
      </c>
    </row>
    <row r="8" customFormat="false" ht="15" hidden="false" customHeight="true" outlineLevel="0" collapsed="false">
      <c r="A8" s="6" t="s">
        <v>255</v>
      </c>
      <c r="B8" s="13" t="n">
        <f aca="false">15*COMBIN(B4-6,2)/B5</f>
        <v>0.00180144596062439</v>
      </c>
      <c r="C8" s="13" t="n">
        <f aca="false">15*COMBIN(C4-6,2)/C5</f>
        <v>0.00136463083144876</v>
      </c>
      <c r="D8" s="13" t="n">
        <f aca="false">15*COMBIN(D4-6,2)/D5</f>
        <v>0.000968619724401408</v>
      </c>
      <c r="E8" s="13" t="n">
        <f aca="false">15*COMBIN(E4-6,2)/E5</f>
        <v>0.000608492506383738</v>
      </c>
      <c r="F8" s="13" t="n">
        <f aca="false">15*COMBIN(F4-6,2)/F5</f>
        <v>0.000491410106860574</v>
      </c>
    </row>
    <row r="9" customFormat="false" ht="15" hidden="false" customHeight="true" outlineLevel="0" collapsed="false">
      <c r="A9" s="6" t="s">
        <v>256</v>
      </c>
      <c r="B9" s="14" t="n">
        <f aca="false">20*COMBIN(B4-6,3)/B5</f>
        <v>0.0272218500716575</v>
      </c>
      <c r="C9" s="14" t="n">
        <f aca="false">20*COMBIN(C4-6,3)/C5</f>
        <v>0.0224405958949351</v>
      </c>
      <c r="D9" s="14" t="n">
        <f aca="false">20*COMBIN(D4-6,3)/D5</f>
        <v>0.0176504038668701</v>
      </c>
      <c r="E9" s="14" t="n">
        <f aca="false">20*COMBIN(E4-6,3)/E5</f>
        <v>0.0127107323555714</v>
      </c>
      <c r="F9" s="14" t="n">
        <f aca="false">20*COMBIN(F4-6,3)/F5</f>
        <v>0.0109202245969017</v>
      </c>
    </row>
    <row r="11" customFormat="false" ht="15" hidden="false" customHeight="true" outlineLevel="0" collapsed="false">
      <c r="A11" s="6" t="s">
        <v>257</v>
      </c>
      <c r="B11" s="15" t="n">
        <v>20676273</v>
      </c>
      <c r="C11" s="15" t="n">
        <v>52078363</v>
      </c>
      <c r="D11" s="15" t="n">
        <v>25000000</v>
      </c>
      <c r="E11" s="15" t="n">
        <v>45000000</v>
      </c>
      <c r="F11" s="15" t="n">
        <v>75000000</v>
      </c>
    </row>
    <row r="12" customFormat="false" ht="15" hidden="false" customHeight="true" outlineLevel="0" collapsed="false">
      <c r="A12" s="6" t="s">
        <v>258</v>
      </c>
      <c r="B12" s="16" t="n">
        <v>400000</v>
      </c>
      <c r="C12" s="16" t="n">
        <v>500000</v>
      </c>
      <c r="D12" s="16" t="n">
        <v>500000</v>
      </c>
      <c r="E12" s="16" t="n">
        <v>600000</v>
      </c>
      <c r="F12" s="16" t="n">
        <v>700000</v>
      </c>
    </row>
    <row r="13" customFormat="false" ht="15" hidden="false" customHeight="true" outlineLevel="0" collapsed="false">
      <c r="A13" s="6" t="s">
        <v>259</v>
      </c>
      <c r="B13" s="16" t="n">
        <v>24000</v>
      </c>
      <c r="C13" s="16" t="n">
        <v>32000</v>
      </c>
      <c r="D13" s="16" t="n">
        <v>56000</v>
      </c>
      <c r="E13" s="16" t="n">
        <v>200000</v>
      </c>
      <c r="F13" s="16" t="n">
        <v>280000</v>
      </c>
    </row>
    <row r="14" customFormat="false" ht="15" hidden="false" customHeight="true" outlineLevel="0" collapsed="false">
      <c r="A14" s="6" t="s">
        <v>260</v>
      </c>
      <c r="B14" s="16" t="n">
        <v>800</v>
      </c>
      <c r="C14" s="16" t="n">
        <v>1000</v>
      </c>
      <c r="D14" s="16" t="n">
        <v>1200</v>
      </c>
      <c r="E14" s="16" t="n">
        <v>3000</v>
      </c>
      <c r="F14" s="16" t="n">
        <v>4000</v>
      </c>
    </row>
    <row r="15" customFormat="false" ht="15" hidden="false" customHeight="true" outlineLevel="0" collapsed="false">
      <c r="A15" s="6" t="s">
        <v>261</v>
      </c>
      <c r="B15" s="15" t="n">
        <v>20</v>
      </c>
      <c r="C15" s="15" t="n">
        <v>30</v>
      </c>
      <c r="D15" s="15" t="n">
        <v>50</v>
      </c>
      <c r="E15" s="15" t="n">
        <v>60</v>
      </c>
      <c r="F15" s="15" t="n">
        <v>100</v>
      </c>
    </row>
    <row r="17" customFormat="false" ht="15" hidden="false" customHeight="true" outlineLevel="0" collapsed="false">
      <c r="A17" s="6" t="s">
        <v>262</v>
      </c>
      <c r="B17" s="6" t="n">
        <f aca="false">B12*B6</f>
        <v>0.0762516808729903</v>
      </c>
      <c r="C17" s="6" t="n">
        <f aca="false">C12*C6</f>
        <v>0.0613869019994942</v>
      </c>
      <c r="D17" s="6" t="n">
        <f aca="false">D12*D6</f>
        <v>0.0357556192100926</v>
      </c>
      <c r="E17" s="6" t="n">
        <f aca="false">E12*E6</f>
        <v>0.0206970240266578</v>
      </c>
      <c r="F17" s="6" t="n">
        <f aca="false">F12*F6</f>
        <v>0.0172944733435094</v>
      </c>
    </row>
    <row r="18" customFormat="false" ht="15" hidden="false" customHeight="true" outlineLevel="0" collapsed="false">
      <c r="A18" s="6" t="s">
        <v>263</v>
      </c>
      <c r="B18" s="17" t="n">
        <f aca="false">B11*(1-EXP(-B17))/B17</f>
        <v>19907632.9212831</v>
      </c>
      <c r="C18" s="17" t="n">
        <f aca="false">C11*(1-EXP(-C17))/C17</f>
        <v>50512110.7176032</v>
      </c>
      <c r="D18" s="17" t="n">
        <f aca="false">D11*(1-EXP(-D17))/D17</f>
        <v>24558334.416013</v>
      </c>
      <c r="E18" s="17" t="n">
        <f aca="false">E11*(1-EXP(-E17))/E17</f>
        <v>44537513.1554057</v>
      </c>
      <c r="F18" s="17" t="n">
        <f aca="false">F11*(1-EXP(-F17))/F17</f>
        <v>74355179.8756094</v>
      </c>
    </row>
    <row r="19" customFormat="false" ht="15" hidden="false" customHeight="true" outlineLevel="0" collapsed="false">
      <c r="A19" s="6" t="s">
        <v>264</v>
      </c>
      <c r="B19" s="17" t="n">
        <f aca="false">B18*0.8</f>
        <v>15926106.3370264</v>
      </c>
      <c r="C19" s="17" t="n">
        <f aca="false">C18*0.8</f>
        <v>40409688.5740826</v>
      </c>
      <c r="D19" s="17" t="n">
        <f aca="false">D18*0.8</f>
        <v>19646667.5328104</v>
      </c>
      <c r="E19" s="17" t="n">
        <f aca="false">E18*0.8</f>
        <v>35630010.5243246</v>
      </c>
      <c r="F19" s="17" t="n">
        <f aca="false">F18*0.8</f>
        <v>59484143.9004875</v>
      </c>
    </row>
    <row r="20" customFormat="false" ht="15" hidden="false" customHeight="true" outlineLevel="0" collapsed="false">
      <c r="A20" s="6" t="s">
        <v>265</v>
      </c>
      <c r="B20" s="18" t="n">
        <f aca="false">B6*B19</f>
        <v>3.03598094490062</v>
      </c>
      <c r="C20" s="18" t="n">
        <f aca="false">C6*C19</f>
        <v>4.96125118465457</v>
      </c>
      <c r="D20" s="18" t="n">
        <f aca="false">D6*D19</f>
        <v>1.40495752610092</v>
      </c>
      <c r="E20" s="18" t="n">
        <f aca="false">E6*E19</f>
        <v>1.22905863982002</v>
      </c>
      <c r="F20" s="18" t="n">
        <f aca="false">F6*F19</f>
        <v>1.46963848721209</v>
      </c>
    </row>
    <row r="21" customFormat="false" ht="15" hidden="false" customHeight="true" outlineLevel="0" collapsed="false">
      <c r="A21" s="6" t="s">
        <v>266</v>
      </c>
      <c r="B21" s="18" t="n">
        <f aca="false">B7*B13*0.8+B8*B14*IF(B14&gt;10000,0.8,1)+B9*B15</f>
        <v>2.77617119722383</v>
      </c>
      <c r="C21" s="18" t="n">
        <f aca="false">C7*C13*0.8+C8*C14*IF(C14&gt;10000,0.8,1)+C9*C15</f>
        <v>2.77331290377235</v>
      </c>
      <c r="D21" s="18" t="n">
        <f aca="false">D7*D13*0.8+D8*D14*IF(D14&gt;10000,0.8,1)+D9*D15</f>
        <v>2.87141936078106</v>
      </c>
      <c r="E21" s="18" t="n">
        <f aca="false">E7*E13*0.8+E8*E14*IF(E14&gt;10000,0.8,1)+E9*E15</f>
        <v>4.21076814417547</v>
      </c>
      <c r="F21" s="18" t="n">
        <f aca="false">F7*F13*0.8+F8*F14*IF(F14&gt;10000,0.8,1)+F9*F15</f>
        <v>4.78434310574844</v>
      </c>
    </row>
    <row r="22" customFormat="false" ht="15" hidden="false" customHeight="true" outlineLevel="0" collapsed="false">
      <c r="A22" s="7" t="s">
        <v>267</v>
      </c>
      <c r="B22" s="18" t="n">
        <f aca="false">B20+B21</f>
        <v>5.81215214212445</v>
      </c>
      <c r="C22" s="18" t="n">
        <f aca="false">C20+C21</f>
        <v>7.73456408842692</v>
      </c>
      <c r="D22" s="18" t="n">
        <f aca="false">D20+D21</f>
        <v>4.27637688688198</v>
      </c>
      <c r="E22" s="18" t="n">
        <f aca="false">E20+E21</f>
        <v>5.43982678399549</v>
      </c>
      <c r="F22" s="18" t="n">
        <f aca="false">F20+F21</f>
        <v>6.25398159296053</v>
      </c>
    </row>
    <row r="23" customFormat="false" ht="15" hidden="false" customHeight="true" outlineLevel="0" collapsed="false">
      <c r="A23" s="7" t="s">
        <v>268</v>
      </c>
      <c r="B23" s="18" t="n">
        <f aca="false">B22-25</f>
        <v>-19.1878478578756</v>
      </c>
      <c r="C23" s="18" t="n">
        <f aca="false">C22-25</f>
        <v>-17.2654359115731</v>
      </c>
      <c r="D23" s="18" t="n">
        <f aca="false">D22-25</f>
        <v>-20.723623113118</v>
      </c>
      <c r="E23" s="18" t="n">
        <f aca="false">E22-25</f>
        <v>-19.5601732160045</v>
      </c>
      <c r="F23" s="18" t="n">
        <f aca="false">F22-25</f>
        <v>-18.7460184070395</v>
      </c>
    </row>
    <row r="24" customFormat="false" ht="15" hidden="false" customHeight="true" outlineLevel="0" collapsed="false">
      <c r="A24" s="6" t="s">
        <v>269</v>
      </c>
      <c r="B24" s="19" t="n">
        <f aca="false">B22/25</f>
        <v>0.232486085684978</v>
      </c>
      <c r="C24" s="19" t="n">
        <f aca="false">C22/25</f>
        <v>0.309382563537077</v>
      </c>
      <c r="D24" s="19" t="n">
        <f aca="false">D22/25</f>
        <v>0.171055075475279</v>
      </c>
      <c r="E24" s="19" t="n">
        <f aca="false">E22/25</f>
        <v>0.21759307135982</v>
      </c>
      <c r="F24" s="19" t="n">
        <f aca="false">F22/25</f>
        <v>0.250159263718421</v>
      </c>
    </row>
    <row r="25" customFormat="false" ht="15" hidden="false" customHeight="true" outlineLevel="0" collapsed="false">
      <c r="A25" s="6" t="s">
        <v>270</v>
      </c>
      <c r="B25" s="17" t="n">
        <f aca="false">(25-B21)/(0.8*B6)</f>
        <v>145726812.5</v>
      </c>
      <c r="C25" s="17" t="n">
        <f aca="false">(25-C21)/(0.8*C6)</f>
        <v>226297125</v>
      </c>
      <c r="D25" s="17" t="n">
        <f aca="false">(25-D21)/(0.8*D6)</f>
        <v>386802500</v>
      </c>
      <c r="E25" s="17" t="n">
        <f aca="false">(25-E21)/(0.8*E6)</f>
        <v>753341343.75</v>
      </c>
      <c r="F25" s="17" t="n">
        <f aca="false">(25-F21)/(0.8*F6)</f>
        <v>1022794937.5</v>
      </c>
    </row>
    <row r="26" customFormat="false" ht="15" hidden="false" customHeight="true" outlineLevel="0" collapsed="false">
      <c r="A26" s="7" t="s">
        <v>271</v>
      </c>
      <c r="B26" s="7" t="str">
        <f aca="false">IF(B23&gt;0,"+EV — rare, check split risk","-EV: entertainment only")</f>
        <v>-EV: entertainment only</v>
      </c>
      <c r="C26" s="7" t="str">
        <f aca="false">IF(C23&gt;0,"+EV — rare, check split risk","-EV: entertainment only")</f>
        <v>-EV: entertainment only</v>
      </c>
      <c r="D26" s="7" t="str">
        <f aca="false">IF(D23&gt;0,"+EV — rare, check split risk","-EV: entertainment only")</f>
        <v>-EV: entertainment only</v>
      </c>
      <c r="E26" s="7" t="str">
        <f aca="false">IF(E23&gt;0,"+EV — rare, check split risk","-EV: entertainment only")</f>
        <v>-EV: entertainment only</v>
      </c>
      <c r="F26" s="7" t="str">
        <f aca="false">IF(F23&gt;0,"+EV — rare, check split risk","-EV: entertainment only")</f>
        <v>-EV: entertainment only</v>
      </c>
    </row>
    <row r="28" customFormat="false" ht="15" hidden="false" customHeight="true" outlineLevel="0" collapsed="false">
      <c r="A28" s="8" t="s">
        <v>272</v>
      </c>
    </row>
    <row r="29" customFormat="false" ht="15" hidden="false" customHeight="true" outlineLevel="0" collapsed="false">
      <c r="A29" s="8" t="s">
        <v>273</v>
      </c>
    </row>
    <row r="30" customFormat="false" ht="15" hidden="false" customHeight="true" outlineLevel="0" collapsed="false">
      <c r="A30" s="8" t="s">
        <v>274</v>
      </c>
    </row>
    <row r="31" customFormat="false" ht="15" hidden="false" customHeight="true" outlineLevel="0" collapsed="false">
      <c r="A31" s="8" t="s">
        <v>275</v>
      </c>
    </row>
    <row r="32" customFormat="false" ht="15" hidden="false" customHeight="true" outlineLevel="0" collapsed="false">
      <c r="A32" s="8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6"/>
    <col collapsed="false" customWidth="true" hidden="true" outlineLevel="0" max="12" min="8" style="1" width="13"/>
  </cols>
  <sheetData>
    <row r="1" customFormat="false" ht="15" hidden="false" customHeight="true" outlineLevel="0" collapsed="false">
      <c r="A1" s="2" t="s">
        <v>277</v>
      </c>
    </row>
    <row r="3" customFormat="false" ht="15" hidden="false" customHeight="true" outlineLevel="0" collapsed="false">
      <c r="A3" s="6" t="s">
        <v>278</v>
      </c>
      <c r="H3" s="1" t="n">
        <f aca="true">RAND()</f>
        <v>0.119371014156912</v>
      </c>
      <c r="I3" s="1" t="n">
        <f aca="true">RAND()</f>
        <v>0.288309156547425</v>
      </c>
      <c r="J3" s="1" t="n">
        <f aca="true">RAND()</f>
        <v>0.0552042945839693</v>
      </c>
      <c r="K3" s="1" t="n">
        <f aca="true">RAND()</f>
        <v>0.79672873551339</v>
      </c>
      <c r="L3" s="1" t="n">
        <f aca="true">RAND()</f>
        <v>0.251122890357497</v>
      </c>
    </row>
    <row r="4" customFormat="false" ht="15" hidden="false" customHeight="true" outlineLevel="0" collapsed="false">
      <c r="A4" s="6" t="s">
        <v>279</v>
      </c>
      <c r="H4" s="1" t="n">
        <f aca="true">RAND()</f>
        <v>0.200391164751545</v>
      </c>
      <c r="I4" s="1" t="n">
        <f aca="true">RAND()</f>
        <v>0.483546179042969</v>
      </c>
      <c r="J4" s="1" t="n">
        <f aca="true">RAND()</f>
        <v>0.61681199594677</v>
      </c>
      <c r="K4" s="1" t="n">
        <f aca="true">RAND()</f>
        <v>0.491681330769378</v>
      </c>
      <c r="L4" s="1" t="n">
        <f aca="true">RAND()</f>
        <v>0.464582325100604</v>
      </c>
    </row>
    <row r="5" customFormat="false" ht="15" hidden="false" customHeight="true" outlineLevel="0" collapsed="false">
      <c r="A5" s="6" t="s">
        <v>280</v>
      </c>
      <c r="H5" s="1" t="n">
        <f aca="true">RAND()</f>
        <v>0.211292151983708</v>
      </c>
      <c r="I5" s="1" t="n">
        <f aca="true">RAND()</f>
        <v>0.6299604546171</v>
      </c>
      <c r="J5" s="1" t="n">
        <f aca="true">RAND()</f>
        <v>0.786406956218329</v>
      </c>
      <c r="K5" s="1" t="n">
        <f aca="true">RAND()</f>
        <v>0.699612653901462</v>
      </c>
      <c r="L5" s="1" t="n">
        <f aca="true">RAND()</f>
        <v>0.72995786091143</v>
      </c>
    </row>
    <row r="6" customFormat="false" ht="15" hidden="false" customHeight="true" outlineLevel="0" collapsed="false">
      <c r="A6" s="6" t="s">
        <v>281</v>
      </c>
      <c r="H6" s="1" t="n">
        <f aca="true">RAND()</f>
        <v>0.918606711861017</v>
      </c>
      <c r="I6" s="1" t="n">
        <f aca="true">RAND()</f>
        <v>0.738148195866191</v>
      </c>
      <c r="J6" s="1" t="n">
        <f aca="true">RAND()</f>
        <v>0.0845504522610349</v>
      </c>
      <c r="K6" s="1" t="n">
        <f aca="true">RAND()</f>
        <v>0.0290409154020407</v>
      </c>
      <c r="L6" s="1" t="n">
        <f aca="true">RAND()</f>
        <v>0.520304781555559</v>
      </c>
    </row>
    <row r="7" customFormat="false" ht="15" hidden="false" customHeight="true" outlineLevel="0" collapsed="false">
      <c r="A7" s="8" t="s">
        <v>282</v>
      </c>
      <c r="H7" s="1" t="n">
        <f aca="true">RAND()</f>
        <v>0.445835556501216</v>
      </c>
      <c r="I7" s="1" t="n">
        <f aca="true">RAND()</f>
        <v>0.904144869360351</v>
      </c>
      <c r="J7" s="1" t="n">
        <f aca="true">RAND()</f>
        <v>0.284025579047607</v>
      </c>
      <c r="K7" s="1" t="n">
        <f aca="true">RAND()</f>
        <v>0.752308908934545</v>
      </c>
      <c r="L7" s="1" t="n">
        <f aca="true">RAND()</f>
        <v>0.374984180637671</v>
      </c>
    </row>
    <row r="8" customFormat="false" ht="15" hidden="false" customHeight="true" outlineLevel="0" collapsed="false">
      <c r="H8" s="1" t="n">
        <f aca="true">RAND()</f>
        <v>0.640014654616191</v>
      </c>
      <c r="I8" s="1" t="n">
        <f aca="true">RAND()</f>
        <v>0.805684123170474</v>
      </c>
      <c r="J8" s="1" t="n">
        <f aca="true">RAND()</f>
        <v>0.413306406804943</v>
      </c>
      <c r="K8" s="1" t="n">
        <f aca="true">RAND()</f>
        <v>0.0133172326104526</v>
      </c>
      <c r="L8" s="1" t="n">
        <f aca="true">RAND()</f>
        <v>0.382719054453197</v>
      </c>
    </row>
    <row r="9" customFormat="false" ht="15" hidden="false" customHeight="true" outlineLevel="0" collapsed="false">
      <c r="H9" s="1" t="n">
        <f aca="true">RAND()</f>
        <v>0.531085184050474</v>
      </c>
      <c r="I9" s="1" t="n">
        <f aca="true">RAND()</f>
        <v>0.537914778936844</v>
      </c>
      <c r="J9" s="1" t="n">
        <f aca="true">RAND()</f>
        <v>0.333019699872258</v>
      </c>
      <c r="K9" s="1" t="n">
        <f aca="true">RAND()</f>
        <v>0.313279004843349</v>
      </c>
      <c r="L9" s="1" t="n">
        <f aca="true">RAND()</f>
        <v>0.670332622704097</v>
      </c>
    </row>
    <row r="10" customFormat="false" ht="15" hidden="false" customHeight="true" outlineLevel="0" collapsed="false">
      <c r="B10" s="5" t="s">
        <v>26</v>
      </c>
      <c r="C10" s="5" t="s">
        <v>68</v>
      </c>
      <c r="D10" s="5" t="s">
        <v>110</v>
      </c>
      <c r="E10" s="5" t="s">
        <v>125</v>
      </c>
      <c r="F10" s="5" t="s">
        <v>126</v>
      </c>
      <c r="H10" s="1" t="n">
        <f aca="true">RAND()</f>
        <v>0.244680510861475</v>
      </c>
      <c r="I10" s="1" t="n">
        <f aca="true">RAND()</f>
        <v>0.0123124777511885</v>
      </c>
      <c r="J10" s="1" t="n">
        <f aca="true">RAND()</f>
        <v>0.402031820963235</v>
      </c>
      <c r="K10" s="1" t="n">
        <f aca="true">RAND()</f>
        <v>0.202200394264316</v>
      </c>
      <c r="L10" s="1" t="n">
        <f aca="true">RAND()</f>
        <v>0.795617847019971</v>
      </c>
    </row>
    <row r="11" customFormat="false" ht="15" hidden="false" customHeight="true" outlineLevel="0" collapsed="false">
      <c r="A11" s="8" t="s">
        <v>283</v>
      </c>
      <c r="B11" s="7" t="s">
        <v>284</v>
      </c>
      <c r="C11" s="7" t="s">
        <v>284</v>
      </c>
      <c r="D11" s="7" t="s">
        <v>284</v>
      </c>
      <c r="E11" s="7" t="s">
        <v>284</v>
      </c>
      <c r="F11" s="7" t="s">
        <v>284</v>
      </c>
      <c r="H11" s="1" t="n">
        <f aca="true">RAND()</f>
        <v>0.488572876229029</v>
      </c>
      <c r="I11" s="1" t="n">
        <f aca="true">RAND()</f>
        <v>0.0422479247055288</v>
      </c>
      <c r="J11" s="1" t="n">
        <f aca="true">RAND()</f>
        <v>0.206602304131973</v>
      </c>
      <c r="K11" s="1" t="n">
        <f aca="true">RAND()</f>
        <v>0.201981425960624</v>
      </c>
      <c r="L11" s="1" t="n">
        <f aca="true">RAND()</f>
        <v>0.603608671182579</v>
      </c>
    </row>
    <row r="12" customFormat="false" ht="15" hidden="false" customHeight="true" outlineLevel="0" collapsed="false">
      <c r="B12" s="6" t="n">
        <f aca="false">MATCH(LARGE(H$3:H$44,1),H$3:H$44,0)</f>
        <v>39</v>
      </c>
      <c r="C12" s="6" t="n">
        <f aca="false">MATCH(LARGE(I$3:I$47,1),I$3:I$47,0)</f>
        <v>12</v>
      </c>
      <c r="D12" s="6" t="n">
        <f aca="false">MATCH(LARGE(J$3:J$51,1),J$3:J$51,0)</f>
        <v>12</v>
      </c>
      <c r="E12" s="6" t="n">
        <f aca="false">MATCH(LARGE(K$3:K$57,1),K$3:K$57,0)</f>
        <v>41</v>
      </c>
      <c r="F12" s="6" t="n">
        <f aca="false">MATCH(LARGE(L$3:L$60,1),L$3:L$60,0)</f>
        <v>19</v>
      </c>
      <c r="H12" s="1" t="n">
        <f aca="true">RAND()</f>
        <v>0.27420728574157</v>
      </c>
      <c r="I12" s="1" t="n">
        <f aca="true">RAND()</f>
        <v>0.0663687973464579</v>
      </c>
      <c r="J12" s="1" t="n">
        <f aca="true">RAND()</f>
        <v>0.866718782142909</v>
      </c>
      <c r="K12" s="1" t="n">
        <f aca="true">RAND()</f>
        <v>0.492443191161221</v>
      </c>
      <c r="L12" s="1" t="n">
        <f aca="true">RAND()</f>
        <v>0.685524285814779</v>
      </c>
    </row>
    <row r="13" customFormat="false" ht="15" hidden="false" customHeight="true" outlineLevel="0" collapsed="false">
      <c r="B13" s="6" t="n">
        <f aca="false">MATCH(LARGE(H$3:H$44,2),H$3:H$44,0)</f>
        <v>29</v>
      </c>
      <c r="C13" s="6" t="n">
        <f aca="false">MATCH(LARGE(I$3:I$47,2),I$3:I$47,0)</f>
        <v>42</v>
      </c>
      <c r="D13" s="6" t="n">
        <f aca="false">MATCH(LARGE(J$3:J$51,2),J$3:J$51,0)</f>
        <v>18</v>
      </c>
      <c r="E13" s="6" t="n">
        <f aca="false">MATCH(LARGE(K$3:K$57,2),K$3:K$57,0)</f>
        <v>48</v>
      </c>
      <c r="F13" s="6" t="n">
        <f aca="false">MATCH(LARGE(L$3:L$60,2),L$3:L$60,0)</f>
        <v>14</v>
      </c>
      <c r="H13" s="1" t="n">
        <f aca="true">RAND()</f>
        <v>0.470219799802025</v>
      </c>
      <c r="I13" s="1" t="n">
        <f aca="true">RAND()</f>
        <v>0.142539257221791</v>
      </c>
      <c r="J13" s="1" t="n">
        <f aca="true">RAND()</f>
        <v>0.317090055262525</v>
      </c>
      <c r="K13" s="1" t="n">
        <f aca="true">RAND()</f>
        <v>0.648808080118644</v>
      </c>
      <c r="L13" s="1" t="n">
        <f aca="true">RAND()</f>
        <v>0.341288975365697</v>
      </c>
    </row>
    <row r="14" customFormat="false" ht="15" hidden="false" customHeight="true" outlineLevel="0" collapsed="false">
      <c r="B14" s="6" t="n">
        <f aca="false">MATCH(LARGE(H$3:H$44,3),H$3:H$44,0)</f>
        <v>30</v>
      </c>
      <c r="C14" s="6" t="n">
        <f aca="false">MATCH(LARGE(I$3:I$47,3),I$3:I$47,0)</f>
        <v>16</v>
      </c>
      <c r="D14" s="6" t="n">
        <f aca="false">MATCH(LARGE(J$3:J$51,3),J$3:J$51,0)</f>
        <v>34</v>
      </c>
      <c r="E14" s="6" t="n">
        <f aca="false">MATCH(LARGE(K$3:K$57,3),K$3:K$57,0)</f>
        <v>51</v>
      </c>
      <c r="F14" s="6" t="n">
        <f aca="false">MATCH(LARGE(L$3:L$60,3),L$3:L$60,0)</f>
        <v>39</v>
      </c>
      <c r="H14" s="1" t="n">
        <f aca="true">RAND()</f>
        <v>0.674493456108496</v>
      </c>
      <c r="I14" s="1" t="n">
        <f aca="true">RAND()</f>
        <v>0.973659437892965</v>
      </c>
      <c r="J14" s="1" t="n">
        <f aca="true">RAND()</f>
        <v>0.987301001224853</v>
      </c>
      <c r="K14" s="1" t="n">
        <f aca="true">RAND()</f>
        <v>0.415169574802364</v>
      </c>
      <c r="L14" s="1" t="n">
        <f aca="true">RAND()</f>
        <v>0.409485230623788</v>
      </c>
    </row>
    <row r="15" customFormat="false" ht="15" hidden="false" customHeight="true" outlineLevel="0" collapsed="false">
      <c r="B15" s="6" t="n">
        <f aca="false">MATCH(LARGE(H$3:H$44,4),H$3:H$44,0)</f>
        <v>4</v>
      </c>
      <c r="C15" s="6" t="n">
        <f aca="false">MATCH(LARGE(I$3:I$47,4),I$3:I$47,0)</f>
        <v>45</v>
      </c>
      <c r="D15" s="6" t="n">
        <f aca="false">MATCH(LARGE(J$3:J$51,4),J$3:J$51,0)</f>
        <v>15</v>
      </c>
      <c r="E15" s="6" t="n">
        <f aca="false">MATCH(LARGE(K$3:K$57,4),K$3:K$57,0)</f>
        <v>33</v>
      </c>
      <c r="F15" s="6" t="n">
        <f aca="false">MATCH(LARGE(L$3:L$60,4),L$3:L$60,0)</f>
        <v>47</v>
      </c>
      <c r="H15" s="1" t="n">
        <f aca="true">RAND()</f>
        <v>0.622237536359342</v>
      </c>
      <c r="I15" s="1" t="n">
        <f aca="true">RAND()</f>
        <v>0.287118907721413</v>
      </c>
      <c r="J15" s="1" t="n">
        <f aca="true">RAND()</f>
        <v>0.768510019626391</v>
      </c>
      <c r="K15" s="1" t="n">
        <f aca="true">RAND()</f>
        <v>0.149027835049211</v>
      </c>
      <c r="L15" s="1" t="n">
        <f aca="true">RAND()</f>
        <v>0.128957656826329</v>
      </c>
    </row>
    <row r="16" customFormat="false" ht="15" hidden="false" customHeight="true" outlineLevel="0" collapsed="false">
      <c r="B16" s="6" t="n">
        <f aca="false">MATCH(LARGE(H$3:H$44,5),H$3:H$44,0)</f>
        <v>21</v>
      </c>
      <c r="C16" s="6" t="n">
        <f aca="false">MATCH(LARGE(I$3:I$47,5),I$3:I$47,0)</f>
        <v>37</v>
      </c>
      <c r="D16" s="6" t="n">
        <f aca="false">MATCH(LARGE(J$3:J$51,5),J$3:J$51,0)</f>
        <v>10</v>
      </c>
      <c r="E16" s="6" t="n">
        <f aca="false">MATCH(LARGE(K$3:K$57,5),K$3:K$57,0)</f>
        <v>24</v>
      </c>
      <c r="F16" s="6" t="n">
        <f aca="false">MATCH(LARGE(L$3:L$60,5),L$3:L$60,0)</f>
        <v>8</v>
      </c>
      <c r="H16" s="1" t="n">
        <f aca="true">RAND()</f>
        <v>0.691595132909202</v>
      </c>
      <c r="I16" s="1" t="n">
        <f aca="true">RAND()</f>
        <v>0.150827938146398</v>
      </c>
      <c r="J16" s="1" t="n">
        <f aca="true">RAND()</f>
        <v>0.171621111582918</v>
      </c>
      <c r="K16" s="1" t="n">
        <f aca="true">RAND()</f>
        <v>0.0338261050020916</v>
      </c>
      <c r="L16" s="1" t="n">
        <f aca="true">RAND()</f>
        <v>0.848657035550632</v>
      </c>
    </row>
    <row r="17" customFormat="false" ht="15" hidden="false" customHeight="true" outlineLevel="0" collapsed="false">
      <c r="B17" s="6" t="n">
        <f aca="false">MATCH(LARGE(H$3:H$44,6),H$3:H$44,0)</f>
        <v>27</v>
      </c>
      <c r="C17" s="6" t="n">
        <f aca="false">MATCH(LARGE(I$3:I$47,6),I$3:I$47,0)</f>
        <v>5</v>
      </c>
      <c r="D17" s="6" t="n">
        <f aca="false">MATCH(LARGE(J$3:J$51,6),J$3:J$51,0)</f>
        <v>35</v>
      </c>
      <c r="E17" s="6" t="n">
        <f aca="false">MATCH(LARGE(K$3:K$57,6),K$3:K$57,0)</f>
        <v>16</v>
      </c>
      <c r="F17" s="6" t="n">
        <f aca="false">MATCH(LARGE(L$3:L$60,6),L$3:L$60,0)</f>
        <v>30</v>
      </c>
      <c r="H17" s="1" t="n">
        <f aca="true">RAND()</f>
        <v>0.47686761222084</v>
      </c>
      <c r="I17" s="1" t="n">
        <f aca="true">RAND()</f>
        <v>0.687870494551385</v>
      </c>
      <c r="J17" s="1" t="n">
        <f aca="true">RAND()</f>
        <v>0.872009641350827</v>
      </c>
      <c r="K17" s="1" t="n">
        <f aca="true">RAND()</f>
        <v>0.464029204482088</v>
      </c>
      <c r="L17" s="1" t="n">
        <f aca="true">RAND()</f>
        <v>0.594034508770112</v>
      </c>
    </row>
    <row r="18" customFormat="false" ht="15" hidden="false" customHeight="true" outlineLevel="0" collapsed="false">
      <c r="B18" s="7" t="s">
        <v>285</v>
      </c>
      <c r="C18" s="7" t="s">
        <v>285</v>
      </c>
      <c r="D18" s="7" t="s">
        <v>285</v>
      </c>
      <c r="E18" s="7" t="s">
        <v>285</v>
      </c>
      <c r="F18" s="7" t="s">
        <v>285</v>
      </c>
      <c r="H18" s="1" t="n">
        <f aca="true">RAND()</f>
        <v>0.513397088505747</v>
      </c>
      <c r="I18" s="1" t="n">
        <f aca="true">RAND()</f>
        <v>0.928651402475194</v>
      </c>
      <c r="J18" s="1" t="n">
        <f aca="true">RAND()</f>
        <v>0.585098997767443</v>
      </c>
      <c r="K18" s="1" t="n">
        <f aca="true">RAND()</f>
        <v>0.929494202338577</v>
      </c>
      <c r="L18" s="1" t="n">
        <f aca="true">RAND()</f>
        <v>0.187341349555714</v>
      </c>
    </row>
    <row r="19" customFormat="false" ht="15" hidden="false" customHeight="true" outlineLevel="0" collapsed="false">
      <c r="B19" s="6" t="n">
        <f aca="false">MATCH(LARGE(H$3:H$44,7),H$3:H$44,0)</f>
        <v>23</v>
      </c>
      <c r="C19" s="6" t="n">
        <f aca="false">MATCH(LARGE(I$3:I$47,7),I$3:I$47,0)</f>
        <v>25</v>
      </c>
      <c r="D19" s="6" t="n">
        <f aca="false">MATCH(LARGE(J$3:J$51,7),J$3:J$51,0)</f>
        <v>26</v>
      </c>
      <c r="E19" s="6" t="n">
        <f aca="false">MATCH(LARGE(K$3:K$57,7),K$3:K$57,0)</f>
        <v>39</v>
      </c>
      <c r="F19" s="6" t="n">
        <f aca="false">MATCH(LARGE(L$3:L$60,7),L$3:L$60,0)</f>
        <v>45</v>
      </c>
      <c r="H19" s="1" t="n">
        <f aca="true">RAND()</f>
        <v>0.00407340847038679</v>
      </c>
      <c r="I19" s="1" t="n">
        <f aca="true">RAND()</f>
        <v>0.36912941834569</v>
      </c>
      <c r="J19" s="1" t="n">
        <f aca="true">RAND()</f>
        <v>0.348333236488039</v>
      </c>
      <c r="K19" s="1" t="n">
        <f aca="true">RAND()</f>
        <v>0.719705502832996</v>
      </c>
      <c r="L19" s="1" t="n">
        <f aca="true">RAND()</f>
        <v>0.166928233202659</v>
      </c>
    </row>
    <row r="20" customFormat="false" ht="15" hidden="false" customHeight="true" outlineLevel="0" collapsed="false">
      <c r="B20" s="6" t="n">
        <f aca="false">MATCH(LARGE(H$3:H$44,8),H$3:H$44,0)</f>
        <v>20</v>
      </c>
      <c r="C20" s="6" t="n">
        <f aca="false">MATCH(LARGE(I$3:I$47,8),I$3:I$47,0)</f>
        <v>6</v>
      </c>
      <c r="D20" s="6" t="n">
        <f aca="false">MATCH(LARGE(J$3:J$51,8),J$3:J$51,0)</f>
        <v>21</v>
      </c>
      <c r="E20" s="6" t="n">
        <f aca="false">MATCH(LARGE(K$3:K$57,8),K$3:K$57,0)</f>
        <v>44</v>
      </c>
      <c r="F20" s="6" t="n">
        <f aca="false">MATCH(LARGE(L$3:L$60,8),L$3:L$60,0)</f>
        <v>3</v>
      </c>
      <c r="H20" s="1" t="n">
        <f aca="true">RAND()</f>
        <v>0.663304866955292</v>
      </c>
      <c r="I20" s="1" t="n">
        <f aca="true">RAND()</f>
        <v>0.463517715496954</v>
      </c>
      <c r="J20" s="1" t="n">
        <f aca="true">RAND()</f>
        <v>0.97121655041439</v>
      </c>
      <c r="K20" s="1" t="n">
        <f aca="true">RAND()</f>
        <v>0.665702022420396</v>
      </c>
      <c r="L20" s="1" t="n">
        <f aca="true">RAND()</f>
        <v>0.219805561175073</v>
      </c>
    </row>
    <row r="21" customFormat="false" ht="15" hidden="false" customHeight="true" outlineLevel="0" collapsed="false">
      <c r="B21" s="6" t="n">
        <f aca="false">MATCH(LARGE(H$3:H$44,9),H$3:H$44,0)</f>
        <v>42</v>
      </c>
      <c r="C21" s="6" t="n">
        <f aca="false">MATCH(LARGE(I$3:I$47,9),I$3:I$47,0)</f>
        <v>39</v>
      </c>
      <c r="D21" s="6" t="n">
        <f aca="false">MATCH(LARGE(J$3:J$51,9),J$3:J$51,0)</f>
        <v>3</v>
      </c>
      <c r="E21" s="6" t="n">
        <f aca="false">MATCH(LARGE(K$3:K$57,9),K$3:K$57,0)</f>
        <v>38</v>
      </c>
      <c r="F21" s="6" t="n">
        <f aca="false">MATCH(LARGE(L$3:L$60,9),L$3:L$60,0)</f>
        <v>31</v>
      </c>
      <c r="H21" s="1" t="n">
        <f aca="true">RAND()</f>
        <v>0.411471708499255</v>
      </c>
      <c r="I21" s="1" t="n">
        <f aca="true">RAND()</f>
        <v>0.119338910552351</v>
      </c>
      <c r="J21" s="1" t="n">
        <f aca="true">RAND()</f>
        <v>0.106615413826863</v>
      </c>
      <c r="K21" s="1" t="n">
        <f aca="true">RAND()</f>
        <v>0.32720218661205</v>
      </c>
      <c r="L21" s="1" t="n">
        <f aca="true">RAND()</f>
        <v>0.986025891332159</v>
      </c>
    </row>
    <row r="22" customFormat="false" ht="15" hidden="false" customHeight="true" outlineLevel="0" collapsed="false">
      <c r="B22" s="6" t="n">
        <f aca="false">MATCH(LARGE(H$3:H$44,10),H$3:H$44,0)</f>
        <v>14</v>
      </c>
      <c r="C22" s="6" t="n">
        <f aca="false">MATCH(LARGE(I$3:I$47,10),I$3:I$47,0)</f>
        <v>40</v>
      </c>
      <c r="D22" s="6" t="n">
        <f aca="false">MATCH(LARGE(J$3:J$51,10),J$3:J$51,0)</f>
        <v>13</v>
      </c>
      <c r="E22" s="6" t="n">
        <f aca="false">MATCH(LARGE(K$3:K$57,10),K$3:K$57,0)</f>
        <v>46</v>
      </c>
      <c r="F22" s="6" t="n">
        <f aca="false">MATCH(LARGE(L$3:L$60,10),L$3:L$60,0)</f>
        <v>10</v>
      </c>
      <c r="H22" s="1" t="n">
        <f aca="true">RAND()</f>
        <v>0.853392528029532</v>
      </c>
      <c r="I22" s="1" t="n">
        <f aca="true">RAND()</f>
        <v>0.440764111212321</v>
      </c>
      <c r="J22" s="1" t="n">
        <f aca="true">RAND()</f>
        <v>0.244613870051841</v>
      </c>
      <c r="K22" s="1" t="n">
        <f aca="true">RAND()</f>
        <v>0.0331824401032319</v>
      </c>
      <c r="L22" s="1" t="n">
        <f aca="true">RAND()</f>
        <v>0.360854426100375</v>
      </c>
    </row>
    <row r="23" customFormat="false" ht="15" hidden="false" customHeight="true" outlineLevel="0" collapsed="false">
      <c r="B23" s="6" t="n">
        <f aca="false">MATCH(LARGE(H$3:H$44,11),H$3:H$44,0)</f>
        <v>12</v>
      </c>
      <c r="C23" s="6" t="n">
        <f aca="false">MATCH(LARGE(I$3:I$47,11),I$3:I$47,0)</f>
        <v>43</v>
      </c>
      <c r="D23" s="6" t="n">
        <f aca="false">MATCH(LARGE(J$3:J$51,11),J$3:J$51,0)</f>
        <v>37</v>
      </c>
      <c r="E23" s="6" t="n">
        <f aca="false">MATCH(LARGE(K$3:K$57,11),K$3:K$57,0)</f>
        <v>28</v>
      </c>
      <c r="F23" s="6" t="n">
        <f aca="false">MATCH(LARGE(L$3:L$60,11),L$3:L$60,0)</f>
        <v>7</v>
      </c>
      <c r="H23" s="1" t="n">
        <f aca="true">RAND()</f>
        <v>0.887108919649739</v>
      </c>
      <c r="I23" s="1" t="n">
        <f aca="true">RAND()</f>
        <v>0.223223594974152</v>
      </c>
      <c r="J23" s="1" t="n">
        <f aca="true">RAND()</f>
        <v>0.80994471499375</v>
      </c>
      <c r="K23" s="1" t="n">
        <f aca="true">RAND()</f>
        <v>0.185348466722494</v>
      </c>
      <c r="L23" s="1" t="n">
        <f aca="true">RAND()</f>
        <v>0.370133914599281</v>
      </c>
    </row>
    <row r="24" customFormat="false" ht="15" hidden="false" customHeight="true" outlineLevel="0" collapsed="false">
      <c r="B24" s="6" t="n">
        <f aca="false">MATCH(LARGE(H$3:H$44,12),H$3:H$44,0)</f>
        <v>18</v>
      </c>
      <c r="C24" s="6" t="n">
        <f aca="false">MATCH(LARGE(I$3:I$47,12),I$3:I$47,0)</f>
        <v>41</v>
      </c>
      <c r="D24" s="6" t="n">
        <f aca="false">MATCH(LARGE(J$3:J$51,12),J$3:J$51,0)</f>
        <v>33</v>
      </c>
      <c r="E24" s="6" t="n">
        <f aca="false">MATCH(LARGE(K$3:K$57,12),K$3:K$57,0)</f>
        <v>25</v>
      </c>
      <c r="F24" s="6" t="n">
        <f aca="false">MATCH(LARGE(L$3:L$60,12),L$3:L$60,0)</f>
        <v>54</v>
      </c>
      <c r="H24" s="1" t="n">
        <f aca="true">RAND()</f>
        <v>0.599330606962469</v>
      </c>
      <c r="I24" s="1" t="n">
        <f aca="true">RAND()</f>
        <v>0.615377583715391</v>
      </c>
      <c r="J24" s="1" t="n">
        <f aca="true">RAND()</f>
        <v>0.125584634111504</v>
      </c>
      <c r="K24" s="1" t="n">
        <f aca="true">RAND()</f>
        <v>0.429368155196695</v>
      </c>
      <c r="L24" s="1" t="n">
        <f aca="true">RAND()</f>
        <v>0.302693965310125</v>
      </c>
    </row>
    <row r="25" customFormat="false" ht="15" hidden="false" customHeight="true" outlineLevel="0" collapsed="false">
      <c r="B25" s="6" t="str">
        <f aca="false">IF(MAX(B12:B17)&lt;=31,"A: birthday-heavy — F9","A: OK")</f>
        <v>A: OK</v>
      </c>
      <c r="C25" s="6" t="str">
        <f aca="false">IF(MAX(C12:C17)&lt;=31,"A: birthday-heavy — F9","A: OK")</f>
        <v>A: OK</v>
      </c>
      <c r="D25" s="6" t="str">
        <f aca="false">IF(MAX(D12:D17)&lt;=31,"A: birthday-heavy — F9","A: OK")</f>
        <v>A: OK</v>
      </c>
      <c r="E25" s="6" t="str">
        <f aca="false">IF(MAX(E12:E17)&lt;=31,"A: birthday-heavy — F9","A: OK")</f>
        <v>A: OK</v>
      </c>
      <c r="F25" s="6" t="str">
        <f aca="false">IF(MAX(F12:F17)&lt;=31,"A: birthday-heavy — F9","A: OK")</f>
        <v>A: OK</v>
      </c>
      <c r="H25" s="1" t="n">
        <f aca="true">RAND()</f>
        <v>0.859877792675589</v>
      </c>
      <c r="I25" s="1" t="n">
        <f aca="true">RAND()</f>
        <v>0.153198350246782</v>
      </c>
      <c r="J25" s="1" t="n">
        <f aca="true">RAND()</f>
        <v>0.231081039197973</v>
      </c>
      <c r="K25" s="1" t="n">
        <f aca="true">RAND()</f>
        <v>0.0961211513089534</v>
      </c>
      <c r="L25" s="1" t="n">
        <f aca="true">RAND()</f>
        <v>0.60143832687983</v>
      </c>
    </row>
    <row r="26" customFormat="false" ht="15" hidden="false" customHeight="true" outlineLevel="0" collapsed="false">
      <c r="B26" s="6" t="str">
        <f aca="false">IF(MAX(B19:B24)&lt;=31,"B: birthday-heavy — F9","B: OK")</f>
        <v>B: OK</v>
      </c>
      <c r="C26" s="6" t="str">
        <f aca="false">IF(MAX(C19:C24)&lt;=31,"B: birthday-heavy — F9","B: OK")</f>
        <v>B: OK</v>
      </c>
      <c r="D26" s="6" t="str">
        <f aca="false">IF(MAX(D19:D24)&lt;=31,"B: birthday-heavy — F9","B: OK")</f>
        <v>B: OK</v>
      </c>
      <c r="E26" s="6" t="str">
        <f aca="false">IF(MAX(E19:E24)&lt;=31,"B: birthday-heavy — F9","B: OK")</f>
        <v>B: OK</v>
      </c>
      <c r="F26" s="6" t="str">
        <f aca="false">IF(MAX(F19:F24)&lt;=31,"B: birthday-heavy — F9","B: OK")</f>
        <v>B: OK</v>
      </c>
      <c r="H26" s="1" t="n">
        <f aca="true">RAND()</f>
        <v>0.4033012302825</v>
      </c>
      <c r="I26" s="1" t="n">
        <f aca="true">RAND()</f>
        <v>0.50026640753772</v>
      </c>
      <c r="J26" s="1" t="n">
        <f aca="true">RAND()</f>
        <v>0.115242945827389</v>
      </c>
      <c r="K26" s="1" t="n">
        <f aca="true">RAND()</f>
        <v>0.933438776417672</v>
      </c>
      <c r="L26" s="1" t="n">
        <f aca="true">RAND()</f>
        <v>0.485348190416409</v>
      </c>
    </row>
    <row r="27" customFormat="false" ht="15" hidden="false" customHeight="true" outlineLevel="0" collapsed="false">
      <c r="H27" s="1" t="n">
        <f aca="true">RAND()</f>
        <v>0.640605211924174</v>
      </c>
      <c r="I27" s="1" t="n">
        <f aca="true">RAND()</f>
        <v>0.861966045061888</v>
      </c>
      <c r="J27" s="1" t="n">
        <f aca="true">RAND()</f>
        <v>0.325951377765596</v>
      </c>
      <c r="K27" s="1" t="n">
        <f aca="true">RAND()</f>
        <v>0.798846814365772</v>
      </c>
      <c r="L27" s="1" t="n">
        <f aca="true">RAND()</f>
        <v>0.587525961962078</v>
      </c>
    </row>
    <row r="28" customFormat="false" ht="15" hidden="false" customHeight="true" outlineLevel="0" collapsed="false">
      <c r="H28" s="1" t="n">
        <f aca="true">RAND()</f>
        <v>0.351062567440903</v>
      </c>
      <c r="I28" s="1" t="n">
        <f aca="true">RAND()</f>
        <v>0.662751433527196</v>
      </c>
      <c r="J28" s="1" t="n">
        <f aca="true">RAND()</f>
        <v>0.810235988309951</v>
      </c>
      <c r="K28" s="1" t="n">
        <f aca="true">RAND()</f>
        <v>0.179937267895848</v>
      </c>
      <c r="L28" s="1" t="n">
        <f aca="true">RAND()</f>
        <v>0.257255801160311</v>
      </c>
    </row>
    <row r="29" customFormat="false" ht="15" hidden="false" customHeight="true" outlineLevel="0" collapsed="false">
      <c r="H29" s="1" t="n">
        <f aca="true">RAND()</f>
        <v>0.878194344974443</v>
      </c>
      <c r="I29" s="1" t="n">
        <f aca="true">RAND()</f>
        <v>0.0988180975050567</v>
      </c>
      <c r="J29" s="1" t="n">
        <f aca="true">RAND()</f>
        <v>0.181703899871294</v>
      </c>
      <c r="K29" s="1" t="n">
        <f aca="true">RAND()</f>
        <v>0.0374534195154903</v>
      </c>
      <c r="L29" s="1" t="n">
        <f aca="true">RAND()</f>
        <v>0.494908272836819</v>
      </c>
    </row>
    <row r="30" customFormat="false" ht="15" hidden="false" customHeight="true" outlineLevel="0" collapsed="false">
      <c r="H30" s="1" t="n">
        <f aca="true">RAND()</f>
        <v>0.344402104330024</v>
      </c>
      <c r="I30" s="1" t="n">
        <f aca="true">RAND()</f>
        <v>0.42900596923456</v>
      </c>
      <c r="J30" s="1" t="n">
        <f aca="true">RAND()</f>
        <v>0.431257049378459</v>
      </c>
      <c r="K30" s="1" t="n">
        <f aca="true">RAND()</f>
        <v>0.800955675668972</v>
      </c>
      <c r="L30" s="1" t="n">
        <f aca="true">RAND()</f>
        <v>0.383920305540463</v>
      </c>
    </row>
    <row r="31" customFormat="false" ht="15" hidden="false" customHeight="true" outlineLevel="0" collapsed="false">
      <c r="H31" s="1" t="n">
        <f aca="true">RAND()</f>
        <v>0.938347884068865</v>
      </c>
      <c r="I31" s="1" t="n">
        <f aca="true">RAND()</f>
        <v>0.0632810574317563</v>
      </c>
      <c r="J31" s="1" t="n">
        <f aca="true">RAND()</f>
        <v>0.400570595687429</v>
      </c>
      <c r="K31" s="1" t="n">
        <f aca="true">RAND()</f>
        <v>0.0573607570735973</v>
      </c>
      <c r="L31" s="1" t="n">
        <f aca="true">RAND()</f>
        <v>0.0104080214612892</v>
      </c>
    </row>
    <row r="32" customFormat="false" ht="15" hidden="false" customHeight="true" outlineLevel="0" collapsed="false">
      <c r="H32" s="1" t="n">
        <f aca="true">RAND()</f>
        <v>0.92675814302894</v>
      </c>
      <c r="I32" s="1" t="n">
        <f aca="true">RAND()</f>
        <v>0.435711198542432</v>
      </c>
      <c r="J32" s="1" t="n">
        <f aca="true">RAND()</f>
        <v>0.203659800694839</v>
      </c>
      <c r="K32" s="1" t="n">
        <f aca="true">RAND()</f>
        <v>0.458972618218547</v>
      </c>
      <c r="L32" s="1" t="n">
        <f aca="true">RAND()</f>
        <v>0.778944766531413</v>
      </c>
    </row>
    <row r="33" customFormat="false" ht="15" hidden="false" customHeight="true" outlineLevel="0" collapsed="false">
      <c r="H33" s="1" t="n">
        <f aca="true">RAND()</f>
        <v>0.294448977129617</v>
      </c>
      <c r="I33" s="1" t="n">
        <f aca="true">RAND()</f>
        <v>0.0783275157281921</v>
      </c>
      <c r="J33" s="1" t="n">
        <f aca="true">RAND()</f>
        <v>0.519392783674773</v>
      </c>
      <c r="K33" s="1" t="n">
        <f aca="true">RAND()</f>
        <v>0.535980173255023</v>
      </c>
      <c r="L33" s="1" t="n">
        <f aca="true">RAND()</f>
        <v>0.727909735967975</v>
      </c>
    </row>
    <row r="34" customFormat="false" ht="15" hidden="false" customHeight="true" outlineLevel="0" collapsed="false">
      <c r="H34" s="1" t="n">
        <f aca="true">RAND()</f>
        <v>0.111753999371399</v>
      </c>
      <c r="I34" s="1" t="n">
        <f aca="true">RAND()</f>
        <v>0.167275561300984</v>
      </c>
      <c r="J34" s="1" t="n">
        <f aca="true">RAND()</f>
        <v>0.389921122744839</v>
      </c>
      <c r="K34" s="1" t="n">
        <f aca="true">RAND()</f>
        <v>0.465510181154995</v>
      </c>
      <c r="L34" s="1" t="n">
        <f aca="true">RAND()</f>
        <v>0.266728993954773</v>
      </c>
    </row>
    <row r="35" customFormat="false" ht="15" hidden="false" customHeight="true" outlineLevel="0" collapsed="false">
      <c r="H35" s="1" t="n">
        <f aca="true">RAND()</f>
        <v>0.174491870546271</v>
      </c>
      <c r="I35" s="1" t="n">
        <f aca="true">RAND()</f>
        <v>0.26171334957519</v>
      </c>
      <c r="J35" s="1" t="n">
        <f aca="true">RAND()</f>
        <v>0.738020177158606</v>
      </c>
      <c r="K35" s="1" t="n">
        <f aca="true">RAND()</f>
        <v>0.945434119037194</v>
      </c>
      <c r="L35" s="1" t="n">
        <f aca="true">RAND()</f>
        <v>0.132368716546137</v>
      </c>
    </row>
    <row r="36" customFormat="false" ht="15" hidden="false" customHeight="true" outlineLevel="0" collapsed="false">
      <c r="H36" s="1" t="n">
        <f aca="true">RAND()</f>
        <v>0.567126120480372</v>
      </c>
      <c r="I36" s="1" t="n">
        <f aca="true">RAND()</f>
        <v>0.690124957531813</v>
      </c>
      <c r="J36" s="1" t="n">
        <f aca="true">RAND()</f>
        <v>0.950338473539032</v>
      </c>
      <c r="K36" s="1" t="n">
        <f aca="true">RAND()</f>
        <v>0.726930710864106</v>
      </c>
      <c r="L36" s="1" t="n">
        <f aca="true">RAND()</f>
        <v>0.358804441079592</v>
      </c>
    </row>
    <row r="37" customFormat="false" ht="15" hidden="false" customHeight="true" outlineLevel="0" collapsed="false">
      <c r="H37" s="1" t="n">
        <f aca="true">RAND()</f>
        <v>0.0862453758549149</v>
      </c>
      <c r="I37" s="1" t="n">
        <f aca="true">RAND()</f>
        <v>0.733673685975471</v>
      </c>
      <c r="J37" s="1" t="n">
        <f aca="true">RAND()</f>
        <v>0.820113607658111</v>
      </c>
      <c r="K37" s="1" t="n">
        <f aca="true">RAND()</f>
        <v>0.76129216180881</v>
      </c>
      <c r="L37" s="1" t="n">
        <f aca="true">RAND()</f>
        <v>0.190371318804508</v>
      </c>
    </row>
    <row r="38" customFormat="false" ht="15" hidden="false" customHeight="true" outlineLevel="0" collapsed="false">
      <c r="H38" s="1" t="n">
        <f aca="true">RAND()</f>
        <v>0.362237315178991</v>
      </c>
      <c r="I38" s="1" t="n">
        <f aca="true">RAND()</f>
        <v>0.618868575086414</v>
      </c>
      <c r="J38" s="1" t="n">
        <f aca="true">RAND()</f>
        <v>0.670517742088975</v>
      </c>
      <c r="K38" s="1" t="n">
        <f aca="true">RAND()</f>
        <v>0.268588269065045</v>
      </c>
      <c r="L38" s="1" t="n">
        <f aca="true">RAND()</f>
        <v>0.0737995012435821</v>
      </c>
    </row>
    <row r="39" customFormat="false" ht="15" hidden="false" customHeight="true" outlineLevel="0" collapsed="false">
      <c r="H39" s="1" t="n">
        <f aca="true">RAND()</f>
        <v>0.661547288051502</v>
      </c>
      <c r="I39" s="1" t="n">
        <f aca="true">RAND()</f>
        <v>0.904568818217465</v>
      </c>
      <c r="J39" s="1" t="n">
        <f aca="true">RAND()</f>
        <v>0.747440143144392</v>
      </c>
      <c r="K39" s="1" t="n">
        <f aca="true">RAND()</f>
        <v>0.252542729794675</v>
      </c>
      <c r="L39" s="1" t="n">
        <f aca="true">RAND()</f>
        <v>0.0914778298611341</v>
      </c>
    </row>
    <row r="40" customFormat="false" ht="15" hidden="false" customHeight="true" outlineLevel="0" collapsed="false">
      <c r="H40" s="1" t="n">
        <f aca="true">RAND()</f>
        <v>0.251108638986505</v>
      </c>
      <c r="I40" s="1" t="n">
        <f aca="true">RAND()</f>
        <v>0.529181330915349</v>
      </c>
      <c r="J40" s="1" t="n">
        <f aca="true">RAND()</f>
        <v>0.666681693694722</v>
      </c>
      <c r="K40" s="1" t="n">
        <f aca="true">RAND()</f>
        <v>0.901828583652454</v>
      </c>
      <c r="L40" s="1" t="n">
        <f aca="true">RAND()</f>
        <v>0.158032910062086</v>
      </c>
    </row>
    <row r="41" customFormat="false" ht="15" hidden="false" customHeight="true" outlineLevel="0" collapsed="false">
      <c r="H41" s="1" t="n">
        <f aca="true">RAND()</f>
        <v>0.985123891810218</v>
      </c>
      <c r="I41" s="1" t="n">
        <f aca="true">RAND()</f>
        <v>0.791943499328525</v>
      </c>
      <c r="J41" s="1" t="n">
        <f aca="true">RAND()</f>
        <v>0.296184575528191</v>
      </c>
      <c r="K41" s="1" t="n">
        <f aca="true">RAND()</f>
        <v>0.923595843831616</v>
      </c>
      <c r="L41" s="1" t="n">
        <f aca="true">RAND()</f>
        <v>0.822034127194318</v>
      </c>
    </row>
    <row r="42" customFormat="false" ht="15" hidden="false" customHeight="true" outlineLevel="0" collapsed="false">
      <c r="H42" s="1" t="n">
        <f aca="true">RAND()</f>
        <v>0.155820824132876</v>
      </c>
      <c r="I42" s="1" t="n">
        <f aca="true">RAND()</f>
        <v>0.775494026540541</v>
      </c>
      <c r="J42" s="1" t="n">
        <f aca="true">RAND()</f>
        <v>0.578174021689087</v>
      </c>
      <c r="K42" s="1" t="n">
        <f aca="true">RAND()</f>
        <v>0.445774135671421</v>
      </c>
      <c r="L42" s="1" t="n">
        <f aca="true">RAND()</f>
        <v>0.650995791638913</v>
      </c>
    </row>
    <row r="43" customFormat="false" ht="15" hidden="false" customHeight="true" outlineLevel="0" collapsed="false">
      <c r="H43" s="1" t="n">
        <f aca="true">RAND()</f>
        <v>0.231423389678623</v>
      </c>
      <c r="I43" s="1" t="n">
        <f aca="true">RAND()</f>
        <v>0.752647316310534</v>
      </c>
      <c r="J43" s="1" t="n">
        <f aca="true">RAND()</f>
        <v>0.424447625445035</v>
      </c>
      <c r="K43" s="1" t="n">
        <f aca="true">RAND()</f>
        <v>0.983096976720896</v>
      </c>
      <c r="L43" s="1" t="n">
        <f aca="true">RAND()</f>
        <v>0.627486343732018</v>
      </c>
    </row>
    <row r="44" customFormat="false" ht="15" hidden="false" customHeight="true" outlineLevel="0" collapsed="false">
      <c r="H44" s="1" t="n">
        <f aca="true">RAND()</f>
        <v>0.780200838718303</v>
      </c>
      <c r="I44" s="1" t="n">
        <f aca="true">RAND()</f>
        <v>0.941519489030877</v>
      </c>
      <c r="J44" s="1" t="n">
        <f aca="true">RAND()</f>
        <v>0.20857070596132</v>
      </c>
      <c r="K44" s="1" t="n">
        <f aca="true">RAND()</f>
        <v>0.011064362989624</v>
      </c>
      <c r="L44" s="1" t="n">
        <f aca="true">RAND()</f>
        <v>0.453904543297849</v>
      </c>
    </row>
    <row r="45" customFormat="false" ht="15" hidden="false" customHeight="true" outlineLevel="0" collapsed="false">
      <c r="I45" s="1" t="n">
        <f aca="true">RAND()</f>
        <v>0.763533171237689</v>
      </c>
      <c r="J45" s="1" t="n">
        <f aca="true">RAND()</f>
        <v>0.707268166309321</v>
      </c>
      <c r="K45" s="1" t="n">
        <f aca="true">RAND()</f>
        <v>0.736159176288912</v>
      </c>
      <c r="L45" s="1" t="n">
        <f aca="true">RAND()</f>
        <v>0.279783093001631</v>
      </c>
    </row>
    <row r="46" customFormat="false" ht="15" hidden="false" customHeight="true" outlineLevel="0" collapsed="false">
      <c r="I46" s="1" t="n">
        <f aca="true">RAND()</f>
        <v>0.0424230553447216</v>
      </c>
      <c r="J46" s="1" t="n">
        <f aca="true">RAND()</f>
        <v>0.490674224076918</v>
      </c>
      <c r="K46" s="1" t="n">
        <f aca="true">RAND()</f>
        <v>0.912529295411316</v>
      </c>
      <c r="L46" s="1" t="n">
        <f aca="true">RAND()</f>
        <v>0.626664656037322</v>
      </c>
    </row>
    <row r="47" customFormat="false" ht="15" hidden="false" customHeight="true" outlineLevel="0" collapsed="false">
      <c r="I47" s="1" t="n">
        <f aca="true">RAND()</f>
        <v>0.916425899357205</v>
      </c>
      <c r="J47" s="1" t="n">
        <f aca="true">RAND()</f>
        <v>0.373541672077045</v>
      </c>
      <c r="K47" s="1" t="n">
        <f aca="true">RAND()</f>
        <v>0.320077139538229</v>
      </c>
      <c r="L47" s="1" t="n">
        <f aca="true">RAND()</f>
        <v>0.775625713312393</v>
      </c>
    </row>
    <row r="48" customFormat="false" ht="15" hidden="false" customHeight="true" outlineLevel="0" collapsed="false">
      <c r="J48" s="1" t="n">
        <f aca="true">RAND()</f>
        <v>0.523288169180707</v>
      </c>
      <c r="K48" s="1" t="n">
        <f aca="true">RAND()</f>
        <v>0.853224314854834</v>
      </c>
      <c r="L48" s="1" t="n">
        <f aca="true">RAND()</f>
        <v>0.466161752375425</v>
      </c>
    </row>
    <row r="49" customFormat="false" ht="15" hidden="false" customHeight="true" outlineLevel="0" collapsed="false">
      <c r="J49" s="1" t="n">
        <f aca="true">RAND()</f>
        <v>0.259386121883854</v>
      </c>
      <c r="K49" s="1" t="n">
        <f aca="true">RAND()</f>
        <v>0.72612043587436</v>
      </c>
      <c r="L49" s="1" t="n">
        <f aca="true">RAND()</f>
        <v>0.796480615437073</v>
      </c>
    </row>
    <row r="50" customFormat="false" ht="15" hidden="false" customHeight="true" outlineLevel="0" collapsed="false">
      <c r="J50" s="1" t="n">
        <f aca="true">RAND()</f>
        <v>0.0377057721674142</v>
      </c>
      <c r="K50" s="1" t="n">
        <f aca="true">RAND()</f>
        <v>0.97535954103809</v>
      </c>
      <c r="L50" s="1" t="n">
        <f aca="true">RAND()</f>
        <v>0.40174019500252</v>
      </c>
    </row>
    <row r="51" customFormat="false" ht="15" hidden="false" customHeight="true" outlineLevel="0" collapsed="false">
      <c r="J51" s="1" t="n">
        <f aca="true">RAND()</f>
        <v>0.0115015105437357</v>
      </c>
      <c r="K51" s="1" t="n">
        <f aca="true">RAND()</f>
        <v>0.717508169674841</v>
      </c>
      <c r="L51" s="1" t="n">
        <f aca="true">RAND()</f>
        <v>0.355310824720232</v>
      </c>
    </row>
    <row r="52" customFormat="false" ht="15" hidden="false" customHeight="true" outlineLevel="0" collapsed="false">
      <c r="K52" s="1" t="n">
        <f aca="true">RAND()</f>
        <v>0.41085582167775</v>
      </c>
      <c r="L52" s="1" t="n">
        <f aca="true">RAND()</f>
        <v>0.465057181628006</v>
      </c>
    </row>
    <row r="53" customFormat="false" ht="15" hidden="false" customHeight="true" outlineLevel="0" collapsed="false">
      <c r="K53" s="1" t="n">
        <f aca="true">RAND()</f>
        <v>0.963115020042215</v>
      </c>
      <c r="L53" s="1" t="n">
        <f aca="true">RAND()</f>
        <v>0.201870661061475</v>
      </c>
    </row>
    <row r="54" customFormat="false" ht="15" hidden="false" customHeight="true" outlineLevel="0" collapsed="false">
      <c r="K54" s="1" t="n">
        <f aca="true">RAND()</f>
        <v>0.356937831463593</v>
      </c>
      <c r="L54" s="1" t="n">
        <f aca="true">RAND()</f>
        <v>0.147986723788337</v>
      </c>
    </row>
    <row r="55" customFormat="false" ht="15" hidden="false" customHeight="true" outlineLevel="0" collapsed="false">
      <c r="K55" s="1" t="n">
        <f aca="true">RAND()</f>
        <v>0.337459847441202</v>
      </c>
      <c r="L55" s="1" t="n">
        <f aca="true">RAND()</f>
        <v>0.356137225274176</v>
      </c>
    </row>
    <row r="56" customFormat="false" ht="15" hidden="false" customHeight="true" outlineLevel="0" collapsed="false">
      <c r="K56" s="1" t="n">
        <f aca="true">RAND()</f>
        <v>0.40310998254322</v>
      </c>
      <c r="L56" s="1" t="n">
        <f aca="true">RAND()</f>
        <v>0.653231795012284</v>
      </c>
    </row>
    <row r="57" customFormat="false" ht="15" hidden="false" customHeight="true" outlineLevel="0" collapsed="false">
      <c r="K57" s="1" t="n">
        <f aca="true">RAND()</f>
        <v>0.734609735499121</v>
      </c>
      <c r="L57" s="1" t="n">
        <f aca="true">RAND()</f>
        <v>0.217067915738588</v>
      </c>
    </row>
    <row r="58" customFormat="false" ht="15" hidden="false" customHeight="true" outlineLevel="0" collapsed="false">
      <c r="L58" s="1" t="n">
        <f aca="true">RAND()</f>
        <v>0.148254855538558</v>
      </c>
    </row>
    <row r="59" customFormat="false" ht="15" hidden="false" customHeight="true" outlineLevel="0" collapsed="false">
      <c r="L59" s="1" t="n">
        <f aca="true">RAND()</f>
        <v>0.101588158411115</v>
      </c>
    </row>
    <row r="60" customFormat="false" ht="15" hidden="false" customHeight="true" outlineLevel="0" collapsed="false">
      <c r="L60" s="1" t="n">
        <f aca="true">RAND()</f>
        <v>0.14529774799901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5" min="4" style="1" width="26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0"/>
  </cols>
  <sheetData>
    <row r="1" customFormat="false" ht="15" hidden="false" customHeight="true" outlineLevel="0" collapsed="false">
      <c r="A1" s="20" t="s">
        <v>286</v>
      </c>
      <c r="B1" s="20"/>
      <c r="C1" s="20"/>
      <c r="D1" s="20"/>
      <c r="E1" s="20"/>
      <c r="F1" s="20"/>
      <c r="G1" s="20"/>
      <c r="H1" s="20"/>
    </row>
    <row r="3" customFormat="false" ht="15" hidden="false" customHeight="true" outlineLevel="0" collapsed="false">
      <c r="A3" s="5" t="s">
        <v>19</v>
      </c>
      <c r="B3" s="5" t="s">
        <v>287</v>
      </c>
      <c r="C3" s="5" t="s">
        <v>18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</row>
    <row r="4" customFormat="false" ht="15" hidden="false" customHeight="true" outlineLevel="0" collapsed="false">
      <c r="A4" s="6" t="s">
        <v>108</v>
      </c>
      <c r="B4" s="6" t="s">
        <v>293</v>
      </c>
      <c r="C4" s="6" t="s">
        <v>68</v>
      </c>
      <c r="D4" s="6" t="s">
        <v>294</v>
      </c>
      <c r="E4" s="6" t="s">
        <v>295</v>
      </c>
      <c r="F4" s="6" t="n">
        <v>-54.9</v>
      </c>
      <c r="G4" s="6" t="n">
        <v>0.1</v>
      </c>
      <c r="H4" s="6" t="n">
        <v>-32.8</v>
      </c>
    </row>
    <row r="5" customFormat="false" ht="15" hidden="false" customHeight="true" outlineLevel="0" collapsed="false">
      <c r="A5" s="6" t="s">
        <v>108</v>
      </c>
      <c r="B5" s="6" t="s">
        <v>293</v>
      </c>
      <c r="C5" s="6" t="s">
        <v>126</v>
      </c>
      <c r="D5" s="6" t="s">
        <v>296</v>
      </c>
      <c r="E5" s="6" t="s">
        <v>297</v>
      </c>
      <c r="F5" s="6" t="n">
        <v>-54.9</v>
      </c>
      <c r="G5" s="6" t="n">
        <v>0.1</v>
      </c>
      <c r="H5" s="6" t="n">
        <v>-32.8</v>
      </c>
    </row>
    <row r="6" customFormat="false" ht="15" hidden="false" customHeight="true" outlineLevel="0" collapsed="false">
      <c r="A6" s="6" t="s">
        <v>66</v>
      </c>
      <c r="B6" s="6" t="s">
        <v>298</v>
      </c>
      <c r="C6" s="6" t="s">
        <v>26</v>
      </c>
      <c r="D6" s="6" t="s">
        <v>299</v>
      </c>
      <c r="E6" s="6" t="s">
        <v>300</v>
      </c>
      <c r="F6" s="6" t="n">
        <v>-47.1</v>
      </c>
      <c r="G6" s="6" t="n">
        <v>0.04</v>
      </c>
      <c r="H6" s="6" t="n">
        <v>-32.7</v>
      </c>
    </row>
    <row r="7" customFormat="false" ht="15" hidden="false" customHeight="true" outlineLevel="0" collapsed="false">
      <c r="A7" s="6" t="s">
        <v>66</v>
      </c>
      <c r="B7" s="6" t="s">
        <v>298</v>
      </c>
      <c r="C7" s="6" t="s">
        <v>125</v>
      </c>
      <c r="D7" s="6" t="s">
        <v>301</v>
      </c>
      <c r="E7" s="6" t="s">
        <v>302</v>
      </c>
      <c r="F7" s="6" t="n">
        <v>-47.1</v>
      </c>
      <c r="G7" s="6" t="n">
        <v>0.04</v>
      </c>
      <c r="H7" s="6" t="n">
        <v>-32.7</v>
      </c>
    </row>
    <row r="8" customFormat="false" ht="15" hidden="false" customHeight="true" outlineLevel="0" collapsed="false">
      <c r="A8" s="6" t="s">
        <v>124</v>
      </c>
      <c r="B8" s="6" t="s">
        <v>303</v>
      </c>
      <c r="C8" s="6" t="s">
        <v>110</v>
      </c>
      <c r="D8" s="6" t="s">
        <v>304</v>
      </c>
      <c r="E8" s="6" t="s">
        <v>305</v>
      </c>
      <c r="F8" s="6" t="n">
        <v>-37.1</v>
      </c>
      <c r="G8" s="6" t="n">
        <v>0.01</v>
      </c>
      <c r="H8" s="6" t="n">
        <v>-32.7</v>
      </c>
    </row>
    <row r="9" customFormat="false" ht="15" hidden="false" customHeight="true" outlineLevel="0" collapsed="false">
      <c r="A9" s="6" t="s">
        <v>124</v>
      </c>
      <c r="B9" s="6" t="s">
        <v>303</v>
      </c>
      <c r="C9" s="6" t="s">
        <v>126</v>
      </c>
      <c r="D9" s="6" t="s">
        <v>306</v>
      </c>
      <c r="E9" s="6" t="s">
        <v>307</v>
      </c>
      <c r="F9" s="6" t="n">
        <v>-37.1</v>
      </c>
      <c r="G9" s="6" t="n">
        <v>0.01</v>
      </c>
      <c r="H9" s="6" t="n">
        <v>-32.7</v>
      </c>
    </row>
    <row r="10" customFormat="false" ht="15" hidden="false" customHeight="true" outlineLevel="0" collapsed="false">
      <c r="A10" s="6" t="s">
        <v>109</v>
      </c>
      <c r="B10" s="6" t="s">
        <v>308</v>
      </c>
      <c r="C10" s="6" t="s">
        <v>68</v>
      </c>
      <c r="D10" s="6" t="s">
        <v>309</v>
      </c>
      <c r="E10" s="6" t="s">
        <v>310</v>
      </c>
      <c r="F10" s="6" t="n">
        <v>-26</v>
      </c>
      <c r="G10" s="6" t="n">
        <v>0</v>
      </c>
      <c r="H10" s="6" t="n">
        <v>-32.6</v>
      </c>
    </row>
    <row r="11" customFormat="false" ht="15" hidden="false" customHeight="true" outlineLevel="0" collapsed="false">
      <c r="A11" s="6" t="s">
        <v>109</v>
      </c>
      <c r="B11" s="6" t="s">
        <v>308</v>
      </c>
      <c r="C11" s="6" t="s">
        <v>125</v>
      </c>
      <c r="D11" s="6" t="s">
        <v>311</v>
      </c>
      <c r="E11" s="6" t="s">
        <v>312</v>
      </c>
      <c r="F11" s="6" t="n">
        <v>-26</v>
      </c>
      <c r="G11" s="6" t="n">
        <v>0</v>
      </c>
      <c r="H11" s="6" t="n">
        <v>-32.6</v>
      </c>
    </row>
    <row r="12" customFormat="false" ht="15" hidden="false" customHeight="true" outlineLevel="0" collapsed="false">
      <c r="A12" s="6" t="s">
        <v>67</v>
      </c>
      <c r="B12" s="6" t="s">
        <v>313</v>
      </c>
      <c r="C12" s="6" t="s">
        <v>26</v>
      </c>
      <c r="D12" s="6" t="s">
        <v>314</v>
      </c>
      <c r="E12" s="6" t="s">
        <v>315</v>
      </c>
      <c r="F12" s="6" t="n">
        <v>-14.5</v>
      </c>
      <c r="G12" s="6" t="n">
        <v>0.03</v>
      </c>
      <c r="H12" s="6" t="n">
        <v>-32.5</v>
      </c>
    </row>
    <row r="13" customFormat="false" ht="15" hidden="false" customHeight="true" outlineLevel="0" collapsed="false">
      <c r="A13" s="6" t="s">
        <v>67</v>
      </c>
      <c r="B13" s="6" t="s">
        <v>313</v>
      </c>
      <c r="C13" s="6" t="s">
        <v>110</v>
      </c>
      <c r="D13" s="6" t="s">
        <v>316</v>
      </c>
      <c r="E13" s="6" t="s">
        <v>317</v>
      </c>
      <c r="F13" s="6" t="n">
        <v>-14.5</v>
      </c>
      <c r="G13" s="6" t="n">
        <v>0.03</v>
      </c>
      <c r="H13" s="6" t="n">
        <v>-32.5</v>
      </c>
    </row>
    <row r="14" customFormat="false" ht="15" hidden="false" customHeight="true" outlineLevel="0" collapsed="false">
      <c r="A14" s="6" t="s">
        <v>67</v>
      </c>
      <c r="B14" s="6" t="s">
        <v>313</v>
      </c>
      <c r="C14" s="6" t="s">
        <v>126</v>
      </c>
      <c r="D14" s="6" t="s">
        <v>318</v>
      </c>
      <c r="E14" s="6" t="s">
        <v>319</v>
      </c>
      <c r="F14" s="6" t="n">
        <v>-14.5</v>
      </c>
      <c r="G14" s="6" t="n">
        <v>0.03</v>
      </c>
      <c r="H14" s="6" t="n">
        <v>-32.5</v>
      </c>
    </row>
    <row r="15" customFormat="false" ht="15" hidden="false" customHeight="true" outlineLevel="0" collapsed="false">
      <c r="A15" s="6" t="s">
        <v>127</v>
      </c>
      <c r="B15" s="6" t="s">
        <v>320</v>
      </c>
      <c r="C15" s="6" t="s">
        <v>68</v>
      </c>
      <c r="D15" s="6" t="s">
        <v>321</v>
      </c>
      <c r="E15" s="6" t="s">
        <v>322</v>
      </c>
      <c r="F15" s="6" t="n">
        <v>-1.8</v>
      </c>
      <c r="G15" s="6" t="n">
        <v>0.09</v>
      </c>
      <c r="H15" s="6" t="n">
        <v>-32.5</v>
      </c>
    </row>
    <row r="16" customFormat="false" ht="15" hidden="false" customHeight="true" outlineLevel="0" collapsed="false">
      <c r="A16" s="6" t="s">
        <v>127</v>
      </c>
      <c r="B16" s="6" t="s">
        <v>320</v>
      </c>
      <c r="C16" s="6" t="s">
        <v>125</v>
      </c>
      <c r="D16" s="6" t="s">
        <v>323</v>
      </c>
      <c r="E16" s="6" t="s">
        <v>324</v>
      </c>
      <c r="F16" s="6" t="n">
        <v>-1.8</v>
      </c>
      <c r="G16" s="6" t="n">
        <v>0.09</v>
      </c>
      <c r="H16" s="6" t="n">
        <v>-32.5</v>
      </c>
    </row>
    <row r="17" customFormat="false" ht="15" hidden="false" customHeight="true" outlineLevel="0" collapsed="false">
      <c r="A17" s="6" t="s">
        <v>128</v>
      </c>
      <c r="B17" s="6" t="s">
        <v>325</v>
      </c>
      <c r="C17" s="6" t="s">
        <v>26</v>
      </c>
      <c r="D17" s="6" t="s">
        <v>326</v>
      </c>
      <c r="E17" s="6" t="s">
        <v>327</v>
      </c>
      <c r="F17" s="6" t="n">
        <v>8.3</v>
      </c>
      <c r="G17" s="6" t="n">
        <v>0.17</v>
      </c>
      <c r="H17" s="6" t="n">
        <v>-32.4</v>
      </c>
    </row>
    <row r="18" customFormat="false" ht="15" hidden="false" customHeight="true" outlineLevel="0" collapsed="false">
      <c r="A18" s="6" t="s">
        <v>128</v>
      </c>
      <c r="B18" s="6" t="s">
        <v>325</v>
      </c>
      <c r="C18" s="6" t="s">
        <v>110</v>
      </c>
      <c r="D18" s="6" t="s">
        <v>328</v>
      </c>
      <c r="E18" s="6" t="s">
        <v>329</v>
      </c>
      <c r="F18" s="6" t="n">
        <v>8.3</v>
      </c>
      <c r="G18" s="6" t="n">
        <v>0.17</v>
      </c>
      <c r="H18" s="6" t="n">
        <v>-32.4</v>
      </c>
    </row>
    <row r="19" customFormat="false" ht="15" hidden="false" customHeight="true" outlineLevel="0" collapsed="false">
      <c r="A19" s="6" t="s">
        <v>129</v>
      </c>
      <c r="B19" s="6" t="s">
        <v>293</v>
      </c>
      <c r="C19" s="6" t="s">
        <v>68</v>
      </c>
      <c r="D19" s="6" t="s">
        <v>330</v>
      </c>
      <c r="E19" s="6" t="s">
        <v>331</v>
      </c>
      <c r="F19" s="6" t="n">
        <v>18.8</v>
      </c>
      <c r="G19" s="6" t="n">
        <v>0.26</v>
      </c>
      <c r="H19" s="6" t="n">
        <v>-32.4</v>
      </c>
    </row>
    <row r="20" customFormat="false" ht="15" hidden="false" customHeight="true" outlineLevel="0" collapsed="false">
      <c r="A20" s="6" t="s">
        <v>129</v>
      </c>
      <c r="B20" s="6" t="s">
        <v>293</v>
      </c>
      <c r="C20" s="6" t="s">
        <v>126</v>
      </c>
      <c r="D20" s="6" t="s">
        <v>332</v>
      </c>
      <c r="E20" s="6" t="s">
        <v>333</v>
      </c>
      <c r="F20" s="6" t="n">
        <v>18.8</v>
      </c>
      <c r="G20" s="6" t="n">
        <v>0.26</v>
      </c>
      <c r="H20" s="6" t="n">
        <v>-32.4</v>
      </c>
    </row>
    <row r="21" customFormat="false" ht="15" hidden="false" customHeight="true" outlineLevel="0" collapsed="false">
      <c r="A21" s="6" t="s">
        <v>130</v>
      </c>
      <c r="B21" s="6" t="s">
        <v>298</v>
      </c>
      <c r="C21" s="6" t="s">
        <v>26</v>
      </c>
      <c r="D21" s="6" t="s">
        <v>334</v>
      </c>
      <c r="E21" s="6" t="s">
        <v>335</v>
      </c>
      <c r="F21" s="6" t="n">
        <v>28.5</v>
      </c>
      <c r="G21" s="6" t="n">
        <v>0.36</v>
      </c>
      <c r="H21" s="6" t="n">
        <v>-32.3</v>
      </c>
    </row>
    <row r="22" customFormat="false" ht="15" hidden="false" customHeight="true" outlineLevel="0" collapsed="false">
      <c r="A22" s="6" t="s">
        <v>130</v>
      </c>
      <c r="B22" s="6" t="s">
        <v>298</v>
      </c>
      <c r="C22" s="6" t="s">
        <v>125</v>
      </c>
      <c r="D22" s="6" t="s">
        <v>336</v>
      </c>
      <c r="E22" s="6" t="s">
        <v>337</v>
      </c>
      <c r="F22" s="6" t="n">
        <v>28.5</v>
      </c>
      <c r="G22" s="6" t="n">
        <v>0.36</v>
      </c>
      <c r="H22" s="6" t="n">
        <v>-32.3</v>
      </c>
    </row>
    <row r="23" customFormat="false" ht="15" hidden="false" customHeight="true" outlineLevel="0" collapsed="false">
      <c r="A23" s="6" t="s">
        <v>131</v>
      </c>
      <c r="B23" s="6" t="s">
        <v>303</v>
      </c>
      <c r="C23" s="6" t="s">
        <v>110</v>
      </c>
      <c r="D23" s="6" t="s">
        <v>338</v>
      </c>
      <c r="E23" s="6" t="s">
        <v>339</v>
      </c>
      <c r="F23" s="6" t="n">
        <v>37.2</v>
      </c>
      <c r="G23" s="6" t="n">
        <v>0.46</v>
      </c>
      <c r="H23" s="6" t="n">
        <v>-32.3</v>
      </c>
    </row>
    <row r="24" customFormat="false" ht="15" hidden="false" customHeight="true" outlineLevel="0" collapsed="false">
      <c r="A24" s="6" t="s">
        <v>131</v>
      </c>
      <c r="B24" s="6" t="s">
        <v>303</v>
      </c>
      <c r="C24" s="6" t="s">
        <v>126</v>
      </c>
      <c r="D24" s="6" t="s">
        <v>340</v>
      </c>
      <c r="E24" s="6" t="s">
        <v>341</v>
      </c>
      <c r="F24" s="6" t="n">
        <v>37.2</v>
      </c>
      <c r="G24" s="6" t="n">
        <v>0.46</v>
      </c>
      <c r="H24" s="6" t="n">
        <v>-32.3</v>
      </c>
    </row>
    <row r="25" customFormat="false" ht="15" hidden="false" customHeight="true" outlineLevel="0" collapsed="false">
      <c r="A25" s="6" t="s">
        <v>132</v>
      </c>
      <c r="B25" s="6" t="s">
        <v>308</v>
      </c>
      <c r="C25" s="6" t="s">
        <v>68</v>
      </c>
      <c r="D25" s="6" t="s">
        <v>342</v>
      </c>
      <c r="E25" s="6" t="s">
        <v>343</v>
      </c>
      <c r="F25" s="6" t="n">
        <v>44.5</v>
      </c>
      <c r="G25" s="6" t="n">
        <v>0.57</v>
      </c>
      <c r="H25" s="6" t="n">
        <v>-32.2</v>
      </c>
    </row>
    <row r="26" customFormat="false" ht="15" hidden="false" customHeight="true" outlineLevel="0" collapsed="false">
      <c r="A26" s="6" t="s">
        <v>132</v>
      </c>
      <c r="B26" s="6" t="s">
        <v>308</v>
      </c>
      <c r="C26" s="6" t="s">
        <v>125</v>
      </c>
      <c r="D26" s="6" t="s">
        <v>344</v>
      </c>
      <c r="E26" s="6" t="s">
        <v>345</v>
      </c>
      <c r="F26" s="6" t="n">
        <v>44.5</v>
      </c>
      <c r="G26" s="6" t="n">
        <v>0.57</v>
      </c>
      <c r="H26" s="6" t="n">
        <v>-32.2</v>
      </c>
    </row>
    <row r="27" customFormat="false" ht="15" hidden="false" customHeight="true" outlineLevel="0" collapsed="false">
      <c r="A27" s="6" t="s">
        <v>133</v>
      </c>
      <c r="B27" s="6" t="s">
        <v>313</v>
      </c>
      <c r="C27" s="6" t="s">
        <v>26</v>
      </c>
      <c r="D27" s="6" t="s">
        <v>346</v>
      </c>
      <c r="E27" s="6" t="s">
        <v>347</v>
      </c>
      <c r="F27" s="6" t="n">
        <v>49.8</v>
      </c>
      <c r="G27" s="6" t="n">
        <v>0.66</v>
      </c>
      <c r="H27" s="6" t="n">
        <v>-32.2</v>
      </c>
    </row>
    <row r="28" customFormat="false" ht="15" hidden="false" customHeight="true" outlineLevel="0" collapsed="false">
      <c r="A28" s="6" t="s">
        <v>133</v>
      </c>
      <c r="B28" s="6" t="s">
        <v>313</v>
      </c>
      <c r="C28" s="6" t="s">
        <v>110</v>
      </c>
      <c r="D28" s="6" t="s">
        <v>348</v>
      </c>
      <c r="E28" s="6" t="s">
        <v>349</v>
      </c>
      <c r="F28" s="6" t="n">
        <v>49.8</v>
      </c>
      <c r="G28" s="6" t="n">
        <v>0.66</v>
      </c>
      <c r="H28" s="6" t="n">
        <v>-32.2</v>
      </c>
    </row>
    <row r="29" customFormat="false" ht="15" hidden="false" customHeight="true" outlineLevel="0" collapsed="false">
      <c r="A29" s="6" t="s">
        <v>133</v>
      </c>
      <c r="B29" s="6" t="s">
        <v>313</v>
      </c>
      <c r="C29" s="6" t="s">
        <v>126</v>
      </c>
      <c r="D29" s="6" t="s">
        <v>350</v>
      </c>
      <c r="E29" s="6" t="s">
        <v>351</v>
      </c>
      <c r="F29" s="6" t="n">
        <v>49.8</v>
      </c>
      <c r="G29" s="6" t="n">
        <v>0.66</v>
      </c>
      <c r="H29" s="6" t="n">
        <v>-32.2</v>
      </c>
    </row>
    <row r="30" customFormat="false" ht="15" hidden="false" customHeight="true" outlineLevel="0" collapsed="false">
      <c r="A30" s="6" t="s">
        <v>134</v>
      </c>
      <c r="B30" s="6" t="s">
        <v>320</v>
      </c>
      <c r="C30" s="6" t="s">
        <v>68</v>
      </c>
      <c r="D30" s="6" t="s">
        <v>352</v>
      </c>
      <c r="E30" s="6" t="s">
        <v>353</v>
      </c>
      <c r="F30" s="6" t="n">
        <v>52.8</v>
      </c>
      <c r="G30" s="6" t="n">
        <v>0.75</v>
      </c>
      <c r="H30" s="6" t="n">
        <v>-32.2</v>
      </c>
    </row>
    <row r="31" customFormat="false" ht="15" hidden="false" customHeight="true" outlineLevel="0" collapsed="false">
      <c r="A31" s="6" t="s">
        <v>134</v>
      </c>
      <c r="B31" s="6" t="s">
        <v>320</v>
      </c>
      <c r="C31" s="6" t="s">
        <v>125</v>
      </c>
      <c r="D31" s="6" t="s">
        <v>354</v>
      </c>
      <c r="E31" s="6" t="s">
        <v>355</v>
      </c>
      <c r="F31" s="6" t="n">
        <v>52.8</v>
      </c>
      <c r="G31" s="6" t="n">
        <v>0.75</v>
      </c>
      <c r="H31" s="6" t="n">
        <v>-32.2</v>
      </c>
    </row>
    <row r="32" customFormat="false" ht="15" hidden="false" customHeight="true" outlineLevel="0" collapsed="false">
      <c r="A32" s="6" t="s">
        <v>356</v>
      </c>
      <c r="B32" s="6" t="s">
        <v>325</v>
      </c>
      <c r="C32" s="6" t="s">
        <v>26</v>
      </c>
      <c r="D32" s="6" t="s">
        <v>357</v>
      </c>
      <c r="E32" s="6" t="s">
        <v>358</v>
      </c>
      <c r="F32" s="6" t="n">
        <v>52.9</v>
      </c>
      <c r="G32" s="6" t="n">
        <v>0.83</v>
      </c>
      <c r="H32" s="6" t="n">
        <v>-32.2</v>
      </c>
    </row>
    <row r="33" customFormat="false" ht="15" hidden="false" customHeight="true" outlineLevel="0" collapsed="false">
      <c r="A33" s="6" t="s">
        <v>356</v>
      </c>
      <c r="B33" s="6" t="s">
        <v>325</v>
      </c>
      <c r="C33" s="6" t="s">
        <v>110</v>
      </c>
      <c r="D33" s="6" t="s">
        <v>359</v>
      </c>
      <c r="E33" s="6" t="s">
        <v>360</v>
      </c>
      <c r="F33" s="6" t="n">
        <v>52.9</v>
      </c>
      <c r="G33" s="6" t="n">
        <v>0.83</v>
      </c>
      <c r="H33" s="6" t="n">
        <v>-32.2</v>
      </c>
    </row>
    <row r="34" customFormat="false" ht="15" hidden="false" customHeight="true" outlineLevel="0" collapsed="false">
      <c r="A34" s="6" t="s">
        <v>361</v>
      </c>
      <c r="B34" s="6" t="s">
        <v>293</v>
      </c>
      <c r="C34" s="6" t="s">
        <v>68</v>
      </c>
      <c r="D34" s="6" t="s">
        <v>362</v>
      </c>
      <c r="E34" s="6" t="s">
        <v>363</v>
      </c>
      <c r="F34" s="6" t="n">
        <v>50.3</v>
      </c>
      <c r="G34" s="6" t="n">
        <v>0.89</v>
      </c>
      <c r="H34" s="6" t="n">
        <v>-32.1</v>
      </c>
    </row>
    <row r="35" customFormat="false" ht="15" hidden="false" customHeight="true" outlineLevel="0" collapsed="false">
      <c r="A35" s="6" t="s">
        <v>361</v>
      </c>
      <c r="B35" s="6" t="s">
        <v>293</v>
      </c>
      <c r="C35" s="6" t="s">
        <v>126</v>
      </c>
      <c r="D35" s="6" t="s">
        <v>364</v>
      </c>
      <c r="E35" s="6" t="s">
        <v>365</v>
      </c>
      <c r="F35" s="6" t="n">
        <v>50.3</v>
      </c>
      <c r="G35" s="6" t="n">
        <v>0.89</v>
      </c>
      <c r="H35" s="6" t="n">
        <v>-32.1</v>
      </c>
    </row>
    <row r="36" customFormat="false" ht="15" hidden="false" customHeight="true" outlineLevel="0" collapsed="false">
      <c r="A36" s="6" t="s">
        <v>366</v>
      </c>
      <c r="B36" s="6" t="s">
        <v>298</v>
      </c>
      <c r="C36" s="6" t="s">
        <v>26</v>
      </c>
      <c r="D36" s="6" t="s">
        <v>367</v>
      </c>
      <c r="E36" s="6" t="s">
        <v>368</v>
      </c>
      <c r="F36" s="6" t="n">
        <v>45.6</v>
      </c>
      <c r="G36" s="6" t="n">
        <v>0.94</v>
      </c>
      <c r="H36" s="6" t="n">
        <v>-32.1</v>
      </c>
    </row>
    <row r="37" customFormat="false" ht="15" hidden="false" customHeight="true" outlineLevel="0" collapsed="false">
      <c r="A37" s="6" t="s">
        <v>366</v>
      </c>
      <c r="B37" s="6" t="s">
        <v>298</v>
      </c>
      <c r="C37" s="6" t="s">
        <v>125</v>
      </c>
      <c r="D37" s="6" t="s">
        <v>369</v>
      </c>
      <c r="E37" s="6" t="s">
        <v>370</v>
      </c>
      <c r="F37" s="6" t="n">
        <v>45.6</v>
      </c>
      <c r="G37" s="6" t="n">
        <v>0.94</v>
      </c>
      <c r="H37" s="6" t="n">
        <v>-32.1</v>
      </c>
    </row>
    <row r="38" customFormat="false" ht="15" hidden="false" customHeight="true" outlineLevel="0" collapsed="false">
      <c r="A38" s="6" t="s">
        <v>371</v>
      </c>
      <c r="B38" s="6" t="s">
        <v>303</v>
      </c>
      <c r="C38" s="6" t="s">
        <v>110</v>
      </c>
      <c r="D38" s="6" t="s">
        <v>372</v>
      </c>
      <c r="E38" s="6" t="s">
        <v>373</v>
      </c>
      <c r="F38" s="6" t="n">
        <v>39.4</v>
      </c>
      <c r="G38" s="6" t="n">
        <v>0.98</v>
      </c>
      <c r="H38" s="6" t="n">
        <v>-32.1</v>
      </c>
    </row>
    <row r="39" customFormat="false" ht="15" hidden="false" customHeight="true" outlineLevel="0" collapsed="false">
      <c r="A39" s="6" t="s">
        <v>371</v>
      </c>
      <c r="B39" s="6" t="s">
        <v>303</v>
      </c>
      <c r="C39" s="6" t="s">
        <v>126</v>
      </c>
      <c r="D39" s="6" t="s">
        <v>374</v>
      </c>
      <c r="E39" s="6" t="s">
        <v>375</v>
      </c>
      <c r="F39" s="6" t="n">
        <v>39.4</v>
      </c>
      <c r="G39" s="6" t="n">
        <v>0.98</v>
      </c>
      <c r="H39" s="6" t="n">
        <v>-32.1</v>
      </c>
    </row>
    <row r="40" customFormat="false" ht="15" hidden="false" customHeight="true" outlineLevel="0" collapsed="false">
      <c r="A40" s="6" t="s">
        <v>376</v>
      </c>
      <c r="B40" s="6" t="s">
        <v>308</v>
      </c>
      <c r="C40" s="6" t="s">
        <v>68</v>
      </c>
      <c r="D40" s="6" t="s">
        <v>377</v>
      </c>
      <c r="E40" s="6" t="s">
        <v>378</v>
      </c>
      <c r="F40" s="6" t="n">
        <v>32.2</v>
      </c>
      <c r="G40" s="6" t="n">
        <v>1</v>
      </c>
      <c r="H40" s="6" t="n">
        <v>-32.1</v>
      </c>
    </row>
    <row r="41" customFormat="false" ht="15" hidden="false" customHeight="true" outlineLevel="0" collapsed="false">
      <c r="A41" s="6" t="s">
        <v>376</v>
      </c>
      <c r="B41" s="6" t="s">
        <v>308</v>
      </c>
      <c r="C41" s="6" t="s">
        <v>125</v>
      </c>
      <c r="D41" s="6" t="s">
        <v>379</v>
      </c>
      <c r="E41" s="6" t="s">
        <v>380</v>
      </c>
      <c r="F41" s="6" t="n">
        <v>32.2</v>
      </c>
      <c r="G41" s="6" t="n">
        <v>1</v>
      </c>
      <c r="H41" s="6" t="n">
        <v>-32.1</v>
      </c>
    </row>
    <row r="42" customFormat="false" ht="15" hidden="false" customHeight="true" outlineLevel="0" collapsed="false">
      <c r="A42" s="6" t="s">
        <v>381</v>
      </c>
      <c r="B42" s="6" t="s">
        <v>313</v>
      </c>
      <c r="C42" s="6" t="s">
        <v>26</v>
      </c>
      <c r="D42" s="6" t="s">
        <v>382</v>
      </c>
      <c r="E42" s="6" t="s">
        <v>383</v>
      </c>
      <c r="F42" s="6" t="n">
        <v>24.4</v>
      </c>
      <c r="G42" s="6" t="n">
        <v>1</v>
      </c>
      <c r="H42" s="6" t="n">
        <v>-32.1</v>
      </c>
    </row>
    <row r="43" customFormat="false" ht="15" hidden="false" customHeight="true" outlineLevel="0" collapsed="false">
      <c r="A43" s="6" t="s">
        <v>381</v>
      </c>
      <c r="B43" s="6" t="s">
        <v>313</v>
      </c>
      <c r="C43" s="6" t="s">
        <v>110</v>
      </c>
      <c r="D43" s="6" t="s">
        <v>384</v>
      </c>
      <c r="E43" s="6" t="s">
        <v>385</v>
      </c>
      <c r="F43" s="6" t="n">
        <v>24.4</v>
      </c>
      <c r="G43" s="6" t="n">
        <v>1</v>
      </c>
      <c r="H43" s="6" t="n">
        <v>-32.1</v>
      </c>
    </row>
    <row r="44" customFormat="false" ht="15" hidden="false" customHeight="true" outlineLevel="0" collapsed="false">
      <c r="A44" s="6" t="s">
        <v>381</v>
      </c>
      <c r="B44" s="6" t="s">
        <v>313</v>
      </c>
      <c r="C44" s="6" t="s">
        <v>126</v>
      </c>
      <c r="D44" s="6" t="s">
        <v>386</v>
      </c>
      <c r="E44" s="6" t="s">
        <v>387</v>
      </c>
      <c r="F44" s="6" t="n">
        <v>24.4</v>
      </c>
      <c r="G44" s="6" t="n">
        <v>1</v>
      </c>
      <c r="H44" s="6" t="n">
        <v>-32.1</v>
      </c>
    </row>
    <row r="45" customFormat="false" ht="15" hidden="false" customHeight="true" outlineLevel="0" collapsed="false">
      <c r="A45" s="6" t="s">
        <v>388</v>
      </c>
      <c r="B45" s="6" t="s">
        <v>320</v>
      </c>
      <c r="C45" s="6" t="s">
        <v>68</v>
      </c>
      <c r="D45" s="6" t="s">
        <v>389</v>
      </c>
      <c r="E45" s="6" t="s">
        <v>390</v>
      </c>
      <c r="F45" s="6" t="n">
        <v>16.1</v>
      </c>
      <c r="G45" s="6" t="n">
        <v>0.98</v>
      </c>
      <c r="H45" s="6" t="n">
        <v>-32.1</v>
      </c>
    </row>
    <row r="46" customFormat="false" ht="15" hidden="false" customHeight="true" outlineLevel="0" collapsed="false">
      <c r="A46" s="6" t="s">
        <v>388</v>
      </c>
      <c r="B46" s="6" t="s">
        <v>320</v>
      </c>
      <c r="C46" s="6" t="s">
        <v>125</v>
      </c>
      <c r="D46" s="6" t="s">
        <v>391</v>
      </c>
      <c r="E46" s="6" t="s">
        <v>392</v>
      </c>
      <c r="F46" s="6" t="n">
        <v>16.1</v>
      </c>
      <c r="G46" s="6" t="n">
        <v>0.98</v>
      </c>
      <c r="H46" s="6" t="n">
        <v>-32.1</v>
      </c>
    </row>
    <row r="47" customFormat="false" ht="15" hidden="false" customHeight="true" outlineLevel="0" collapsed="false">
      <c r="A47" s="6" t="s">
        <v>393</v>
      </c>
      <c r="B47" s="6" t="s">
        <v>325</v>
      </c>
      <c r="C47" s="6" t="s">
        <v>26</v>
      </c>
      <c r="D47" s="6" t="s">
        <v>394</v>
      </c>
      <c r="E47" s="6" t="s">
        <v>395</v>
      </c>
      <c r="F47" s="6" t="n">
        <v>7.7</v>
      </c>
      <c r="G47" s="6" t="n">
        <v>0.94</v>
      </c>
      <c r="H47" s="6" t="n">
        <v>-32.1</v>
      </c>
    </row>
    <row r="48" customFormat="false" ht="15" hidden="false" customHeight="true" outlineLevel="0" collapsed="false">
      <c r="A48" s="6" t="s">
        <v>393</v>
      </c>
      <c r="B48" s="6" t="s">
        <v>325</v>
      </c>
      <c r="C48" s="6" t="s">
        <v>110</v>
      </c>
      <c r="D48" s="6" t="s">
        <v>396</v>
      </c>
      <c r="E48" s="6" t="s">
        <v>397</v>
      </c>
      <c r="F48" s="6" t="n">
        <v>7.7</v>
      </c>
      <c r="G48" s="6" t="n">
        <v>0.94</v>
      </c>
      <c r="H48" s="6" t="n">
        <v>-32.1</v>
      </c>
    </row>
    <row r="49" customFormat="false" ht="15" hidden="false" customHeight="true" outlineLevel="0" collapsed="false">
      <c r="A49" s="6" t="s">
        <v>398</v>
      </c>
      <c r="B49" s="6" t="s">
        <v>293</v>
      </c>
      <c r="C49" s="6" t="s">
        <v>68</v>
      </c>
      <c r="D49" s="6" t="s">
        <v>399</v>
      </c>
      <c r="E49" s="6" t="s">
        <v>400</v>
      </c>
      <c r="F49" s="6" t="n">
        <v>-0.4</v>
      </c>
      <c r="G49" s="6" t="n">
        <v>0.89</v>
      </c>
      <c r="H49" s="6" t="n">
        <v>-32.1</v>
      </c>
    </row>
    <row r="50" customFormat="false" ht="15" hidden="false" customHeight="true" outlineLevel="0" collapsed="false">
      <c r="A50" s="6" t="s">
        <v>398</v>
      </c>
      <c r="B50" s="6" t="s">
        <v>293</v>
      </c>
      <c r="C50" s="6" t="s">
        <v>126</v>
      </c>
      <c r="D50" s="6" t="s">
        <v>401</v>
      </c>
      <c r="E50" s="6" t="s">
        <v>402</v>
      </c>
      <c r="F50" s="6" t="n">
        <v>-0.4</v>
      </c>
      <c r="G50" s="6" t="n">
        <v>0.89</v>
      </c>
      <c r="H50" s="6" t="n">
        <v>-32.1</v>
      </c>
    </row>
    <row r="51" customFormat="false" ht="15" hidden="false" customHeight="true" outlineLevel="0" collapsed="false">
      <c r="A51" s="6" t="s">
        <v>403</v>
      </c>
      <c r="B51" s="6" t="s">
        <v>298</v>
      </c>
      <c r="C51" s="6" t="s">
        <v>26</v>
      </c>
      <c r="D51" s="6" t="s">
        <v>404</v>
      </c>
      <c r="E51" s="6" t="s">
        <v>405</v>
      </c>
      <c r="F51" s="6" t="n">
        <v>-9.8</v>
      </c>
      <c r="G51" s="6" t="n">
        <v>0.82</v>
      </c>
      <c r="H51" s="6" t="n">
        <v>-32.1</v>
      </c>
    </row>
    <row r="52" customFormat="false" ht="15" hidden="false" customHeight="true" outlineLevel="0" collapsed="false">
      <c r="A52" s="6" t="s">
        <v>403</v>
      </c>
      <c r="B52" s="6" t="s">
        <v>298</v>
      </c>
      <c r="C52" s="6" t="s">
        <v>125</v>
      </c>
      <c r="D52" s="6" t="s">
        <v>406</v>
      </c>
      <c r="E52" s="6" t="s">
        <v>407</v>
      </c>
      <c r="F52" s="6" t="n">
        <v>-9.8</v>
      </c>
      <c r="G52" s="6" t="n">
        <v>0.82</v>
      </c>
      <c r="H52" s="6" t="n">
        <v>-32.1</v>
      </c>
    </row>
    <row r="53" customFormat="false" ht="15" hidden="false" customHeight="true" outlineLevel="0" collapsed="false">
      <c r="A53" s="6" t="s">
        <v>408</v>
      </c>
      <c r="B53" s="6" t="s">
        <v>303</v>
      </c>
      <c r="C53" s="6" t="s">
        <v>110</v>
      </c>
      <c r="D53" s="6" t="s">
        <v>409</v>
      </c>
      <c r="E53" s="6" t="s">
        <v>410</v>
      </c>
      <c r="F53" s="6" t="n">
        <v>-18.4</v>
      </c>
      <c r="G53" s="6" t="n">
        <v>0.73</v>
      </c>
      <c r="H53" s="6" t="n">
        <v>-32.2</v>
      </c>
    </row>
    <row r="54" customFormat="false" ht="15" hidden="false" customHeight="true" outlineLevel="0" collapsed="false">
      <c r="A54" s="6" t="s">
        <v>408</v>
      </c>
      <c r="B54" s="6" t="s">
        <v>303</v>
      </c>
      <c r="C54" s="6" t="s">
        <v>126</v>
      </c>
      <c r="D54" s="6" t="s">
        <v>411</v>
      </c>
      <c r="E54" s="6" t="s">
        <v>412</v>
      </c>
      <c r="F54" s="6" t="n">
        <v>-18.4</v>
      </c>
      <c r="G54" s="6" t="n">
        <v>0.73</v>
      </c>
      <c r="H54" s="6" t="n">
        <v>-32.2</v>
      </c>
    </row>
    <row r="55" customFormat="false" ht="15" hidden="false" customHeight="true" outlineLevel="0" collapsed="false">
      <c r="A55" s="6" t="s">
        <v>413</v>
      </c>
      <c r="B55" s="6" t="s">
        <v>308</v>
      </c>
      <c r="C55" s="6" t="s">
        <v>68</v>
      </c>
      <c r="D55" s="6" t="s">
        <v>414</v>
      </c>
      <c r="E55" s="6" t="s">
        <v>415</v>
      </c>
      <c r="F55" s="6" t="n">
        <v>-26.8</v>
      </c>
      <c r="G55" s="6" t="n">
        <v>0.64</v>
      </c>
      <c r="H55" s="6" t="n">
        <v>-32.2</v>
      </c>
    </row>
    <row r="56" customFormat="false" ht="15" hidden="false" customHeight="true" outlineLevel="0" collapsed="false">
      <c r="A56" s="6" t="s">
        <v>413</v>
      </c>
      <c r="B56" s="6" t="s">
        <v>308</v>
      </c>
      <c r="C56" s="6" t="s">
        <v>125</v>
      </c>
      <c r="D56" s="6" t="s">
        <v>416</v>
      </c>
      <c r="E56" s="6" t="s">
        <v>417</v>
      </c>
      <c r="F56" s="6" t="n">
        <v>-26.8</v>
      </c>
      <c r="G56" s="6" t="n">
        <v>0.64</v>
      </c>
      <c r="H56" s="6" t="n">
        <v>-32.2</v>
      </c>
    </row>
    <row r="57" customFormat="false" ht="15" hidden="false" customHeight="true" outlineLevel="0" collapsed="false">
      <c r="A57" s="6" t="s">
        <v>418</v>
      </c>
      <c r="B57" s="6" t="s">
        <v>313</v>
      </c>
      <c r="C57" s="6" t="s">
        <v>26</v>
      </c>
      <c r="D57" s="6" t="s">
        <v>419</v>
      </c>
      <c r="E57" s="6" t="s">
        <v>420</v>
      </c>
      <c r="F57" s="6" t="n">
        <v>-34.7</v>
      </c>
      <c r="G57" s="6" t="n">
        <v>0.53</v>
      </c>
      <c r="H57" s="6" t="n">
        <v>-32.2</v>
      </c>
    </row>
    <row r="58" customFormat="false" ht="15" hidden="false" customHeight="true" outlineLevel="0" collapsed="false">
      <c r="A58" s="6" t="s">
        <v>418</v>
      </c>
      <c r="B58" s="6" t="s">
        <v>313</v>
      </c>
      <c r="C58" s="6" t="s">
        <v>110</v>
      </c>
      <c r="D58" s="6" t="s">
        <v>421</v>
      </c>
      <c r="E58" s="6" t="s">
        <v>422</v>
      </c>
      <c r="F58" s="6" t="n">
        <v>-34.7</v>
      </c>
      <c r="G58" s="6" t="n">
        <v>0.53</v>
      </c>
      <c r="H58" s="6" t="n">
        <v>-32.2</v>
      </c>
    </row>
    <row r="59" customFormat="false" ht="15" hidden="false" customHeight="true" outlineLevel="0" collapsed="false">
      <c r="A59" s="6" t="s">
        <v>418</v>
      </c>
      <c r="B59" s="6" t="s">
        <v>313</v>
      </c>
      <c r="C59" s="6" t="s">
        <v>126</v>
      </c>
      <c r="D59" s="6" t="s">
        <v>423</v>
      </c>
      <c r="E59" s="6" t="s">
        <v>424</v>
      </c>
      <c r="F59" s="6" t="n">
        <v>-34.7</v>
      </c>
      <c r="G59" s="6" t="n">
        <v>0.53</v>
      </c>
      <c r="H59" s="6" t="n">
        <v>-32.2</v>
      </c>
    </row>
    <row r="60" customFormat="false" ht="15" hidden="false" customHeight="true" outlineLevel="0" collapsed="false">
      <c r="A60" s="6" t="s">
        <v>425</v>
      </c>
      <c r="B60" s="6" t="s">
        <v>320</v>
      </c>
      <c r="C60" s="6" t="s">
        <v>68</v>
      </c>
      <c r="D60" s="6" t="s">
        <v>426</v>
      </c>
      <c r="E60" s="6" t="s">
        <v>427</v>
      </c>
      <c r="F60" s="6" t="n">
        <v>-41.7</v>
      </c>
      <c r="G60" s="6" t="n">
        <v>0.42</v>
      </c>
      <c r="H60" s="6" t="n">
        <v>-32.3</v>
      </c>
    </row>
    <row r="61" customFormat="false" ht="15" hidden="false" customHeight="true" outlineLevel="0" collapsed="false">
      <c r="A61" s="6" t="s">
        <v>425</v>
      </c>
      <c r="B61" s="6" t="s">
        <v>320</v>
      </c>
      <c r="C61" s="6" t="s">
        <v>125</v>
      </c>
      <c r="D61" s="6" t="s">
        <v>428</v>
      </c>
      <c r="E61" s="6" t="s">
        <v>429</v>
      </c>
      <c r="F61" s="6" t="n">
        <v>-41.7</v>
      </c>
      <c r="G61" s="6" t="n">
        <v>0.42</v>
      </c>
      <c r="H61" s="6" t="n">
        <v>-32.3</v>
      </c>
    </row>
    <row r="62" customFormat="false" ht="15" hidden="false" customHeight="true" outlineLevel="0" collapsed="false">
      <c r="A62" s="6" t="s">
        <v>430</v>
      </c>
      <c r="B62" s="6" t="s">
        <v>325</v>
      </c>
      <c r="C62" s="6" t="s">
        <v>26</v>
      </c>
      <c r="D62" s="6" t="s">
        <v>431</v>
      </c>
      <c r="E62" s="6" t="s">
        <v>432</v>
      </c>
      <c r="F62" s="6" t="n">
        <v>-47.1</v>
      </c>
      <c r="G62" s="6" t="n">
        <v>0.31</v>
      </c>
      <c r="H62" s="6" t="n">
        <v>-32.3</v>
      </c>
    </row>
    <row r="63" customFormat="false" ht="15" hidden="false" customHeight="true" outlineLevel="0" collapsed="false">
      <c r="A63" s="6" t="s">
        <v>430</v>
      </c>
      <c r="B63" s="6" t="s">
        <v>325</v>
      </c>
      <c r="C63" s="6" t="s">
        <v>110</v>
      </c>
      <c r="D63" s="6" t="s">
        <v>433</v>
      </c>
      <c r="E63" s="6" t="s">
        <v>434</v>
      </c>
      <c r="F63" s="6" t="n">
        <v>-47.1</v>
      </c>
      <c r="G63" s="6" t="n">
        <v>0.31</v>
      </c>
      <c r="H63" s="6" t="n">
        <v>-32.3</v>
      </c>
    </row>
    <row r="64" customFormat="false" ht="15" hidden="false" customHeight="true" outlineLevel="0" collapsed="false">
      <c r="A64" s="6" t="s">
        <v>435</v>
      </c>
      <c r="B64" s="6" t="s">
        <v>293</v>
      </c>
      <c r="C64" s="6" t="s">
        <v>68</v>
      </c>
      <c r="D64" s="6" t="s">
        <v>436</v>
      </c>
      <c r="E64" s="6" t="s">
        <v>437</v>
      </c>
      <c r="F64" s="6" t="n">
        <v>-49.9</v>
      </c>
      <c r="G64" s="6" t="n">
        <v>0.21</v>
      </c>
      <c r="H64" s="6" t="n">
        <v>-32.4</v>
      </c>
    </row>
    <row r="65" customFormat="false" ht="15" hidden="false" customHeight="true" outlineLevel="0" collapsed="false">
      <c r="A65" s="6" t="s">
        <v>435</v>
      </c>
      <c r="B65" s="6" t="s">
        <v>293</v>
      </c>
      <c r="C65" s="6" t="s">
        <v>126</v>
      </c>
      <c r="D65" s="6" t="s">
        <v>438</v>
      </c>
      <c r="E65" s="6" t="s">
        <v>439</v>
      </c>
      <c r="F65" s="6" t="n">
        <v>-49.9</v>
      </c>
      <c r="G65" s="6" t="n">
        <v>0.21</v>
      </c>
      <c r="H65" s="6" t="n">
        <v>-32.4</v>
      </c>
    </row>
    <row r="66" customFormat="false" ht="15" hidden="false" customHeight="true" outlineLevel="0" collapsed="false">
      <c r="A66" s="6" t="s">
        <v>440</v>
      </c>
      <c r="B66" s="6" t="s">
        <v>298</v>
      </c>
      <c r="C66" s="6" t="s">
        <v>26</v>
      </c>
      <c r="D66" s="6" t="s">
        <v>441</v>
      </c>
      <c r="E66" s="6" t="s">
        <v>442</v>
      </c>
      <c r="F66" s="6" t="n">
        <v>-49.3</v>
      </c>
      <c r="G66" s="6" t="n">
        <v>0.12</v>
      </c>
      <c r="H66" s="6" t="n">
        <v>-32.4</v>
      </c>
    </row>
    <row r="67" customFormat="false" ht="15" hidden="false" customHeight="true" outlineLevel="0" collapsed="false">
      <c r="A67" s="6" t="s">
        <v>440</v>
      </c>
      <c r="B67" s="6" t="s">
        <v>298</v>
      </c>
      <c r="C67" s="6" t="s">
        <v>125</v>
      </c>
      <c r="D67" s="6" t="s">
        <v>443</v>
      </c>
      <c r="E67" s="6" t="s">
        <v>444</v>
      </c>
      <c r="F67" s="6" t="n">
        <v>-49.3</v>
      </c>
      <c r="G67" s="6" t="n">
        <v>0.12</v>
      </c>
      <c r="H67" s="6" t="n">
        <v>-32.4</v>
      </c>
    </row>
    <row r="68" customFormat="false" ht="15" hidden="false" customHeight="true" outlineLevel="0" collapsed="false">
      <c r="A68" s="6" t="s">
        <v>445</v>
      </c>
      <c r="B68" s="6" t="s">
        <v>303</v>
      </c>
      <c r="C68" s="6" t="s">
        <v>110</v>
      </c>
      <c r="D68" s="6" t="s">
        <v>446</v>
      </c>
      <c r="E68" s="6" t="s">
        <v>447</v>
      </c>
      <c r="F68" s="6" t="n">
        <v>-45.2</v>
      </c>
      <c r="G68" s="6" t="n">
        <v>0.05</v>
      </c>
      <c r="H68" s="6" t="n">
        <v>-32.5</v>
      </c>
    </row>
    <row r="69" customFormat="false" ht="15" hidden="false" customHeight="true" outlineLevel="0" collapsed="false">
      <c r="A69" s="6" t="s">
        <v>445</v>
      </c>
      <c r="B69" s="6" t="s">
        <v>303</v>
      </c>
      <c r="C69" s="6" t="s">
        <v>126</v>
      </c>
      <c r="D69" s="6" t="s">
        <v>448</v>
      </c>
      <c r="E69" s="6" t="s">
        <v>449</v>
      </c>
      <c r="F69" s="6" t="n">
        <v>-45.2</v>
      </c>
      <c r="G69" s="6" t="n">
        <v>0.05</v>
      </c>
      <c r="H69" s="6" t="n">
        <v>-32.5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2026-06-10T14:38:40Z</dcterms:created>
  <dc:creator>openpyxl</dc:creator>
  <dc:description/>
  <dc:language>en-US</dc:language>
  <cp:lastModifiedBy/>
  <dcterms:modified xsi:type="dcterms:W3CDTF">2026-06-25T15:35:53Z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